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port" sheetId="1" state="visible" r:id="rId1"/>
  </sheets>
  <definedNames>
    <definedName name="Export_Site">Export!$AM$20</definedName>
    <definedName name="Export_Workspace">Export!$A$26:$AO$53</definedName>
    <definedName name="Export_TitleBlock">Export!$AM$15:$AQ$23</definedName>
    <definedName name="Export_RevBlock">Export!$A$2:$T$13</definedName>
    <definedName name="Export_CompanyName">Export!$AM$19</definedName>
    <definedName name="Export_MasterDocNo">Export!$AM$15</definedName>
    <definedName name="Export_OPP">Export!$AH$26:$AJ$53</definedName>
    <definedName name="Export_DocNo">Export!$AM$16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"/>
    <numFmt numFmtId="165" formatCode="D/M/YYYY"/>
    <numFmt numFmtId="166" formatCode="0.000"/>
    <numFmt numFmtId="167" formatCode="000#"/>
    <numFmt numFmtId="168" formatCode="0;\-0;"/>
  </numFmts>
  <fonts count="10">
    <font>
      <name val="Calibri"/>
      <color rgb="FF000000"/>
      <sz val="10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b val="1"/>
      <color theme="1"/>
      <sz val="20"/>
    </font>
    <font>
      <name val="Calibri"/>
      <b val="1"/>
      <color theme="1"/>
      <sz val="22"/>
    </font>
    <font>
      <name val="Calibri"/>
      <color theme="1"/>
      <sz val="45"/>
    </font>
    <font>
      <name val="Calibri"/>
      <b val="1"/>
      <color theme="1"/>
      <sz val="14"/>
    </font>
    <font>
      <name val="Calibri"/>
      <b val="1"/>
      <color theme="1"/>
      <sz val="16"/>
    </font>
    <font>
      <name val="Calibri"/>
      <color theme="1"/>
      <sz val="18"/>
    </font>
  </fonts>
  <fills count="3">
    <fill>
      <patternFill/>
    </fill>
    <fill>
      <patternFill patternType="lightGray"/>
    </fill>
    <fill>
      <patternFill patternType="solid">
        <fgColor rgb="FFD8D8D8"/>
        <bgColor rgb="FFD8D8D8"/>
      </patternFill>
    </fill>
  </fills>
  <borders count="8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2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4" pivotButton="0" quotePrefix="0" xfId="0"/>
    <xf numFmtId="9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wrapText="1"/>
    </xf>
    <xf numFmtId="0" fontId="2" fillId="0" borderId="7" pivotButton="0" quotePrefix="0" xfId="0"/>
    <xf numFmtId="0" fontId="2" fillId="0" borderId="8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164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/>
    </xf>
    <xf numFmtId="0" fontId="2" fillId="0" borderId="10" pivotButton="0" quotePrefix="0" xfId="0"/>
    <xf numFmtId="0" fontId="3" fillId="0" borderId="11" applyAlignment="1" pivotButton="0" quotePrefix="0" xfId="0">
      <alignment horizontal="center"/>
    </xf>
    <xf numFmtId="0" fontId="2" fillId="0" borderId="12" pivotButton="0" quotePrefix="0" xfId="0"/>
    <xf numFmtId="0" fontId="3" fillId="0" borderId="11" applyAlignment="1" pivotButton="0" quotePrefix="0" xfId="0">
      <alignment horizontal="center"/>
    </xf>
    <xf numFmtId="165" fontId="3" fillId="0" borderId="11" applyAlignment="1" pivotButton="0" quotePrefix="0" xfId="0">
      <alignment horizontal="center"/>
    </xf>
    <xf numFmtId="15" fontId="3" fillId="0" borderId="13" applyAlignment="1" pivotButton="0" quotePrefix="0" xfId="0">
      <alignment horizontal="center"/>
    </xf>
    <xf numFmtId="15" fontId="3" fillId="0" borderId="14" applyAlignment="1" pivotButton="0" quotePrefix="0" xfId="0">
      <alignment horizontal="center"/>
    </xf>
    <xf numFmtId="0" fontId="2" fillId="0" borderId="15" pivotButton="0" quotePrefix="0" xfId="0"/>
    <xf numFmtId="0" fontId="2" fillId="0" borderId="16" pivotButton="0" quotePrefix="0" xfId="0"/>
    <xf numFmtId="0" fontId="3" fillId="0" borderId="15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left" vertical="center" wrapText="1"/>
    </xf>
    <xf numFmtId="0" fontId="3" fillId="0" borderId="11" pivotButton="0" quotePrefix="0" xfId="0"/>
    <xf numFmtId="0" fontId="3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5" fontId="3" fillId="0" borderId="11" applyAlignment="1" pivotButton="0" quotePrefix="0" xfId="0">
      <alignment horizontal="center" vertical="center"/>
    </xf>
    <xf numFmtId="15" fontId="3" fillId="0" borderId="13" applyAlignment="1" pivotButton="0" quotePrefix="0" xfId="0">
      <alignment horizontal="center" vertical="center"/>
    </xf>
    <xf numFmtId="15" fontId="3" fillId="0" borderId="14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2" fillId="0" borderId="18" pivotButton="0" quotePrefix="0" xfId="0"/>
    <xf numFmtId="15" fontId="3" fillId="0" borderId="19" applyAlignment="1" pivotButton="0" quotePrefix="0" xfId="0">
      <alignment horizontal="center" vertical="center"/>
    </xf>
    <xf numFmtId="15" fontId="3" fillId="0" borderId="20" applyAlignment="1" pivotButton="0" quotePrefix="0" xfId="0">
      <alignment horizontal="center" vertical="center"/>
    </xf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 wrapText="1"/>
    </xf>
    <xf numFmtId="167" fontId="3" fillId="0" borderId="7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9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15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center" vertical="center" wrapText="1"/>
    </xf>
    <xf numFmtId="164" fontId="5" fillId="0" borderId="22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7" fillId="0" borderId="16" applyAlignment="1" pivotButton="0" quotePrefix="0" xfId="0">
      <alignment horizontal="center" wrapText="1"/>
    </xf>
    <xf numFmtId="0" fontId="5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 wrapText="1"/>
    </xf>
    <xf numFmtId="0" fontId="3" fillId="0" borderId="16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8" fillId="0" borderId="15" applyAlignment="1" pivotButton="0" quotePrefix="0" xfId="0">
      <alignment horizontal="center" wrapText="1"/>
    </xf>
    <xf numFmtId="22" fontId="9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25" pivotButton="0" quotePrefix="0" xfId="0"/>
    <xf numFmtId="0" fontId="1" fillId="2" borderId="26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0" fontId="1" fillId="2" borderId="26" applyAlignment="1" pivotButton="0" quotePrefix="0" xfId="0">
      <alignment horizontal="center" vertical="center" wrapText="1"/>
    </xf>
    <xf numFmtId="9" fontId="1" fillId="2" borderId="26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 wrapText="1"/>
    </xf>
    <xf numFmtId="168" fontId="1" fillId="2" borderId="3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164" fontId="3" fillId="2" borderId="32" applyAlignment="1" pivotButton="0" quotePrefix="0" xfId="0">
      <alignment horizontal="center" vertical="center" textRotation="90" wrapText="1"/>
    </xf>
    <xf numFmtId="0" fontId="3" fillId="2" borderId="32" applyAlignment="1" pivotButton="0" quotePrefix="0" xfId="0">
      <alignment horizontal="center" vertical="center" textRotation="90" wrapText="1"/>
    </xf>
    <xf numFmtId="0" fontId="3" fillId="2" borderId="33" applyAlignment="1" pivotButton="0" quotePrefix="0" xfId="0">
      <alignment horizontal="center" vertical="center" wrapText="1"/>
    </xf>
    <xf numFmtId="0" fontId="3" fillId="2" borderId="34" applyAlignment="1" pivotButton="0" quotePrefix="0" xfId="0">
      <alignment horizontal="center" vertical="center" wrapText="1"/>
    </xf>
    <xf numFmtId="167" fontId="3" fillId="2" borderId="34" applyAlignment="1" pivotButton="0" quotePrefix="0" xfId="0">
      <alignment horizontal="center" vertical="center" wrapText="1"/>
    </xf>
    <xf numFmtId="0" fontId="3" fillId="2" borderId="35" applyAlignment="1" pivotButton="0" quotePrefix="0" xfId="0">
      <alignment horizontal="center" vertical="center" wrapText="1"/>
    </xf>
    <xf numFmtId="0" fontId="3" fillId="2" borderId="36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1" fontId="3" fillId="2" borderId="37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3" fillId="2" borderId="40" applyAlignment="1" pivotButton="0" quotePrefix="0" xfId="0">
      <alignment horizontal="center" vertical="center" wrapText="1"/>
    </xf>
    <xf numFmtId="9" fontId="3" fillId="2" borderId="41" applyAlignment="1" pivotButton="0" quotePrefix="0" xfId="0">
      <alignment horizontal="center" vertical="center" wrapText="1"/>
    </xf>
    <xf numFmtId="9" fontId="3" fillId="2" borderId="42" applyAlignment="1" pivotButton="0" quotePrefix="0" xfId="0">
      <alignment horizontal="center" vertical="center" wrapText="1"/>
    </xf>
    <xf numFmtId="9" fontId="3" fillId="2" borderId="43" applyAlignment="1" pivotButton="0" quotePrefix="0" xfId="0">
      <alignment horizontal="center" vertical="center" wrapText="1"/>
    </xf>
    <xf numFmtId="0" fontId="2" fillId="0" borderId="44" pivotButton="0" quotePrefix="0" xfId="0"/>
    <xf numFmtId="0" fontId="3" fillId="2" borderId="41" applyAlignment="1" pivotButton="0" quotePrefix="0" xfId="0">
      <alignment horizontal="center" vertical="center" wrapText="1"/>
    </xf>
    <xf numFmtId="0" fontId="3" fillId="2" borderId="43" applyAlignment="1" pivotButton="0" quotePrefix="0" xfId="0">
      <alignment horizontal="center" vertical="center" wrapText="1"/>
    </xf>
    <xf numFmtId="0" fontId="1" fillId="2" borderId="45" applyAlignment="1" pivotButton="0" quotePrefix="0" xfId="0">
      <alignment horizontal="center" vertical="center"/>
    </xf>
    <xf numFmtId="168" fontId="1" fillId="2" borderId="45" applyAlignment="1" pivotButton="0" quotePrefix="0" xfId="0">
      <alignment horizontal="center" vertical="center"/>
    </xf>
    <xf numFmtId="0" fontId="3" fillId="2" borderId="42" applyAlignment="1" pivotButton="0" quotePrefix="0" xfId="0">
      <alignment horizontal="center" vertical="center"/>
    </xf>
    <xf numFmtId="0" fontId="2" fillId="0" borderId="46" pivotButton="0" quotePrefix="0" xfId="0"/>
    <xf numFmtId="0" fontId="2" fillId="0" borderId="47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0" pivotButton="0" quotePrefix="0" xfId="0"/>
    <xf numFmtId="0" fontId="2" fillId="0" borderId="51" pivotButton="0" quotePrefix="0" xfId="0"/>
    <xf numFmtId="0" fontId="2" fillId="0" borderId="52" pivotButton="0" quotePrefix="0" xfId="0"/>
    <xf numFmtId="0" fontId="2" fillId="0" borderId="53" pivotButton="0" quotePrefix="0" xfId="0"/>
    <xf numFmtId="0" fontId="2" fillId="0" borderId="54" pivotButton="0" quotePrefix="0" xfId="0"/>
    <xf numFmtId="0" fontId="2" fillId="0" borderId="55" pivotButton="0" quotePrefix="0" xfId="0"/>
    <xf numFmtId="0" fontId="3" fillId="0" borderId="56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167" fontId="3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1" fontId="3" fillId="0" borderId="58" applyAlignment="1" pivotButton="0" quotePrefix="0" xfId="0">
      <alignment horizontal="center" vertical="center" wrapText="1"/>
    </xf>
    <xf numFmtId="9" fontId="3" fillId="0" borderId="33" applyAlignment="1" pivotButton="0" quotePrefix="0" xfId="0">
      <alignment horizontal="center" vertical="center" wrapText="1"/>
    </xf>
    <xf numFmtId="9" fontId="3" fillId="0" borderId="34" applyAlignment="1" pivotButton="0" quotePrefix="0" xfId="0">
      <alignment horizontal="center" vertical="center" wrapText="1"/>
    </xf>
    <xf numFmtId="9" fontId="3" fillId="0" borderId="60" applyAlignment="1" pivotButton="0" quotePrefix="0" xfId="0">
      <alignment horizontal="center" vertical="center" wrapText="1"/>
    </xf>
    <xf numFmtId="0" fontId="1" fillId="0" borderId="61" applyAlignment="1" pivotButton="0" quotePrefix="0" xfId="0">
      <alignment horizontal="center" vertical="center" wrapText="1"/>
    </xf>
    <xf numFmtId="0" fontId="3" fillId="0" borderId="6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8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164" fontId="3" fillId="0" borderId="47" applyAlignment="1" pivotButton="0" quotePrefix="0" xfId="0">
      <alignment horizontal="center" vertical="center" textRotation="90" wrapText="1"/>
    </xf>
    <xf numFmtId="0" fontId="3" fillId="0" borderId="47" applyAlignment="1" pivotButton="0" quotePrefix="0" xfId="0">
      <alignment horizontal="center" vertical="center" textRotation="90" wrapText="1"/>
    </xf>
    <xf numFmtId="0" fontId="3" fillId="0" borderId="6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167" fontId="3" fillId="0" borderId="1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" fontId="3" fillId="0" borderId="11" applyAlignment="1" pivotButton="0" quotePrefix="0" xfId="0">
      <alignment horizontal="center" vertical="center"/>
    </xf>
    <xf numFmtId="9" fontId="3" fillId="0" borderId="63" applyAlignment="1" pivotButton="0" quotePrefix="0" xfId="0">
      <alignment horizontal="center" vertical="center"/>
    </xf>
    <xf numFmtId="9" fontId="3" fillId="0" borderId="13" applyAlignment="1" pivotButton="0" quotePrefix="0" xfId="0">
      <alignment horizontal="center" vertical="center"/>
    </xf>
    <xf numFmtId="9" fontId="3" fillId="0" borderId="1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64" applyAlignment="1" pivotButton="0" quotePrefix="0" xfId="0">
      <alignment horizontal="center" vertical="center"/>
    </xf>
    <xf numFmtId="168" fontId="3" fillId="0" borderId="63" applyAlignment="1" pivotButton="0" quotePrefix="0" xfId="0">
      <alignment horizontal="center" vertical="center"/>
    </xf>
    <xf numFmtId="164" fontId="3" fillId="0" borderId="64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9" fontId="1" fillId="0" borderId="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63" applyAlignment="1" pivotButton="0" quotePrefix="0" xfId="0">
      <alignment horizontal="center"/>
    </xf>
    <xf numFmtId="0" fontId="0" fillId="0" borderId="10" pivotButton="0" quotePrefix="0" xfId="0"/>
    <xf numFmtId="0" fontId="3" fillId="0" borderId="13" applyAlignment="1" pivotButton="0" quotePrefix="0" xfId="0">
      <alignment horizontal="left"/>
    </xf>
    <xf numFmtId="0" fontId="0" fillId="0" borderId="12" pivotButton="0" quotePrefix="0" xfId="0"/>
    <xf numFmtId="0" fontId="3" fillId="0" borderId="13" applyAlignment="1" pivotButton="0" quotePrefix="0" xfId="0">
      <alignment horizontal="center"/>
    </xf>
    <xf numFmtId="165" fontId="3" fillId="0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5" fontId="3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top" wrapText="1"/>
    </xf>
    <xf numFmtId="0" fontId="8" fillId="0" borderId="47" applyAlignment="1" pivotButton="0" quotePrefix="0" xfId="0">
      <alignment horizontal="center" wrapText="1"/>
    </xf>
    <xf numFmtId="0" fontId="3" fillId="0" borderId="47" applyAlignment="1" pivotButton="0" quotePrefix="0" xfId="0">
      <alignment horizontal="center" vertical="top" wrapText="1"/>
    </xf>
    <xf numFmtId="0" fontId="1" fillId="2" borderId="68" applyAlignment="1" pivotButton="0" quotePrefix="0" xfId="0">
      <alignment horizontal="center" vertical="center"/>
    </xf>
    <xf numFmtId="0" fontId="0" fillId="0" borderId="25" pivotButton="0" quotePrefix="0" xfId="0"/>
    <xf numFmtId="0" fontId="1" fillId="2" borderId="3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9" fontId="1" fillId="2" borderId="30" applyAlignment="1" pivotButton="0" quotePrefix="0" xfId="0">
      <alignment horizontal="center" vertical="center"/>
    </xf>
    <xf numFmtId="0" fontId="1" fillId="2" borderId="82" applyAlignment="1" pivotButton="0" quotePrefix="0" xfId="0">
      <alignment horizontal="center" vertical="center" wrapText="1"/>
    </xf>
    <xf numFmtId="0" fontId="1" fillId="2" borderId="81" applyAlignment="1" pivotButton="0" quotePrefix="0" xfId="0">
      <alignment horizontal="center" vertical="center"/>
    </xf>
    <xf numFmtId="164" fontId="3" fillId="2" borderId="30" applyAlignment="1" pivotButton="0" quotePrefix="0" xfId="0">
      <alignment horizontal="center" vertical="center" textRotation="90" wrapText="1"/>
    </xf>
    <xf numFmtId="0" fontId="3" fillId="2" borderId="30" applyAlignment="1" pivotButton="0" quotePrefix="0" xfId="0">
      <alignment horizontal="center" vertical="center" textRotation="90" wrapText="1"/>
    </xf>
    <xf numFmtId="0" fontId="3" fillId="2" borderId="66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167" fontId="3" fillId="2" borderId="19" applyAlignment="1" pivotButton="0" quotePrefix="0" xfId="0">
      <alignment horizontal="center" vertical="center" wrapText="1"/>
    </xf>
    <xf numFmtId="0" fontId="3" fillId="2" borderId="75" applyAlignment="1" pivotButton="0" quotePrefix="0" xfId="0">
      <alignment horizontal="center" vertical="center" wrapText="1"/>
    </xf>
    <xf numFmtId="0" fontId="3" fillId="2" borderId="77" applyAlignment="1" pivotButton="0" quotePrefix="0" xfId="0">
      <alignment horizontal="center" vertical="center" wrapText="1"/>
    </xf>
    <xf numFmtId="0" fontId="3" fillId="2" borderId="70" applyAlignment="1" pivotButton="0" quotePrefix="0" xfId="0">
      <alignment horizontal="center" vertical="center" wrapText="1"/>
    </xf>
    <xf numFmtId="0" fontId="3" fillId="2" borderId="69" applyAlignment="1" pivotButton="0" quotePrefix="0" xfId="0">
      <alignment horizontal="center" vertical="center" wrapText="1"/>
    </xf>
    <xf numFmtId="1" fontId="3" fillId="2" borderId="70" applyAlignment="1" pivotButton="0" quotePrefix="0" xfId="0">
      <alignment horizontal="center" vertical="center" wrapText="1"/>
    </xf>
    <xf numFmtId="0" fontId="3" fillId="2" borderId="79" applyAlignment="1" pivotButton="0" quotePrefix="0" xfId="0">
      <alignment horizontal="center" vertical="center" wrapText="1"/>
    </xf>
    <xf numFmtId="0" fontId="3" fillId="2" borderId="80" applyAlignment="1" pivotButton="0" quotePrefix="0" xfId="0">
      <alignment horizontal="center" vertical="center" wrapText="1"/>
    </xf>
    <xf numFmtId="9" fontId="3" fillId="2" borderId="71" applyAlignment="1" pivotButton="0" quotePrefix="0" xfId="0">
      <alignment horizontal="center" vertical="center" wrapText="1"/>
    </xf>
    <xf numFmtId="9" fontId="3" fillId="2" borderId="74" applyAlignment="1" pivotButton="0" quotePrefix="0" xfId="0">
      <alignment horizontal="center" vertical="center" wrapText="1"/>
    </xf>
    <xf numFmtId="9" fontId="3" fillId="2" borderId="72" applyAlignment="1" pivotButton="0" quotePrefix="0" xfId="0">
      <alignment horizontal="center" vertical="center" wrapText="1"/>
    </xf>
    <xf numFmtId="0" fontId="3" fillId="2" borderId="71" applyAlignment="1" pivotButton="0" quotePrefix="0" xfId="0">
      <alignment horizontal="center" vertical="center" wrapText="1"/>
    </xf>
    <xf numFmtId="0" fontId="3" fillId="2" borderId="72" applyAlignment="1" pivotButton="0" quotePrefix="0" xfId="0">
      <alignment horizontal="center" vertical="center" wrapText="1"/>
    </xf>
    <xf numFmtId="0" fontId="1" fillId="2" borderId="73" applyAlignment="1" pivotButton="0" quotePrefix="0" xfId="0">
      <alignment horizontal="center" vertical="center"/>
    </xf>
    <xf numFmtId="168" fontId="1" fillId="2" borderId="73" applyAlignment="1" pivotButton="0" quotePrefix="0" xfId="0">
      <alignment horizontal="center" vertical="center"/>
    </xf>
    <xf numFmtId="0" fontId="3" fillId="2" borderId="7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76" pivotButton="0" quotePrefix="0" xfId="0"/>
    <xf numFmtId="0" fontId="0" fillId="0" borderId="78" pivotButton="0" quotePrefix="0" xfId="0"/>
    <xf numFmtId="0" fontId="0" fillId="0" borderId="52" pivotButton="0" quotePrefix="0" xfId="0"/>
    <xf numFmtId="0" fontId="0" fillId="0" borderId="5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36</col>
      <colOff>419100</colOff>
      <row>19</row>
      <rowOff>9525</rowOff>
    </from>
    <ext cx="2895600" cy="63817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36</col>
      <colOff>1257300</colOff>
      <row>13</row>
      <rowOff>104775</rowOff>
    </from>
    <ext cx="1247775" cy="895350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Q43"/>
  <sheetViews>
    <sheetView workbookViewId="0">
      <selection activeCell="A1" sqref="A1"/>
    </sheetView>
  </sheetViews>
  <sheetFormatPr baseColWidth="8" defaultColWidth="14.43" defaultRowHeight="15.75" customHeight="1"/>
  <cols>
    <col width="8.710000000000001" customWidth="1" style="158" min="1" max="2"/>
    <col width="11.29" customWidth="1" style="158" min="3" max="3"/>
    <col width="8.710000000000001" customWidth="1" style="158" min="4" max="7"/>
    <col width="35.71" customWidth="1" style="158" min="8" max="8"/>
    <col width="14" customWidth="1" style="158" min="9" max="9"/>
    <col width="7.43" customWidth="1" style="158" min="10" max="10"/>
    <col width="16.71" customWidth="1" style="158" min="11" max="11"/>
    <col width="18.86" customWidth="1" style="158" min="12" max="12"/>
    <col width="13.43" customWidth="1" style="158" min="13" max="13"/>
    <col width="11.71" customWidth="1" style="158" min="14" max="15"/>
    <col width="9.859999999999999" customWidth="1" style="158" min="16" max="16"/>
    <col width="10.71" customWidth="1" style="158" min="17" max="17"/>
    <col width="8.140000000000001" customWidth="1" style="158" min="18" max="20"/>
    <col width="6.86" customWidth="1" style="158" min="21" max="26"/>
    <col width="10.43" customWidth="1" style="158" min="27" max="27"/>
    <col width="9.289999999999999" customWidth="1" style="158" min="28" max="29"/>
    <col width="10.14" customWidth="1" style="158" min="30" max="31"/>
    <col width="35.71" customWidth="1" style="158" min="32" max="32"/>
    <col width="37.86" customWidth="1" style="158" min="33" max="33"/>
    <col width="14.29" customWidth="1" style="158" min="34" max="34"/>
    <col width="5.71" customWidth="1" style="158" min="35" max="35"/>
    <col width="17" customWidth="1" style="158" min="36" max="36"/>
    <col width="39.29" customWidth="1" style="158" min="37" max="37"/>
    <col width="14.29" customWidth="1" style="158" min="38" max="38"/>
    <col width="40" customWidth="1" style="158" min="39" max="40"/>
    <col width="40.29" customWidth="1" style="158" min="41" max="41"/>
    <col width="5.57" customWidth="1" style="158" min="42" max="43"/>
  </cols>
  <sheetData>
    <row r="1" ht="15" customHeight="1" s="158">
      <c r="A1" s="159" t="inlineStr">
        <is>
          <t>Doc. Revision</t>
        </is>
      </c>
      <c r="B1" s="160" t="n"/>
      <c r="C1" s="6" t="inlineStr">
        <is>
          <t>Description</t>
        </is>
      </c>
      <c r="D1" s="161" t="n"/>
      <c r="E1" s="161" t="n"/>
      <c r="F1" s="161" t="n"/>
      <c r="G1" s="161" t="n"/>
      <c r="H1" s="161" t="n"/>
      <c r="I1" s="161" t="n"/>
      <c r="J1" s="160" t="n"/>
      <c r="K1" s="6" t="inlineStr">
        <is>
          <t>Document Number</t>
        </is>
      </c>
      <c r="L1" s="160" t="n"/>
      <c r="M1" s="162" t="inlineStr">
        <is>
          <t>Job Number</t>
        </is>
      </c>
      <c r="N1" s="160" t="n"/>
      <c r="O1" s="6" t="inlineStr">
        <is>
          <t>Date</t>
        </is>
      </c>
      <c r="P1" s="160" t="n"/>
      <c r="Q1" s="6" t="inlineStr">
        <is>
          <t>BY</t>
        </is>
      </c>
      <c r="R1" s="6" t="inlineStr">
        <is>
          <t>CHK</t>
        </is>
      </c>
      <c r="S1" s="6" t="inlineStr">
        <is>
          <t>APP</t>
        </is>
      </c>
      <c r="T1" s="3" t="inlineStr">
        <is>
          <t>PE</t>
        </is>
      </c>
      <c r="U1" s="163" t="inlineStr">
        <is>
          <t>Stamps Apply to Current Revision Only</t>
        </is>
      </c>
      <c r="V1" s="164" t="n"/>
      <c r="W1" s="164" t="n"/>
      <c r="X1" s="164" t="n"/>
      <c r="Y1" s="164" t="n"/>
      <c r="Z1" s="164" t="n"/>
      <c r="AA1" s="164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165" t="n"/>
      <c r="AM1" s="10" t="n"/>
      <c r="AN1" s="11" t="n"/>
      <c r="AO1" s="11" t="n"/>
      <c r="AP1" s="12" t="n"/>
      <c r="AQ1" s="13" t="n"/>
    </row>
    <row r="2" ht="15" customHeight="1" s="158">
      <c r="A2" s="166" t="n">
        <v>0</v>
      </c>
      <c r="B2" s="167" t="n"/>
      <c r="C2" s="168" t="inlineStr">
        <is>
          <t>LINE LIST ISSUED FOR CONSTRUCTION</t>
        </is>
      </c>
      <c r="D2" s="169" t="n"/>
      <c r="E2" s="169" t="n"/>
      <c r="F2" s="169" t="n"/>
      <c r="G2" s="169" t="n"/>
      <c r="H2" s="169" t="n"/>
      <c r="I2" s="169" t="n"/>
      <c r="J2" s="167" t="n"/>
      <c r="K2" s="170" t="inlineStr">
        <is>
          <t>G02-1-PRD0154-M-LL-01-P01-01</t>
        </is>
      </c>
      <c r="L2" s="167" t="n"/>
      <c r="M2" s="170" t="inlineStr">
        <is>
          <t>2026.1111</t>
        </is>
      </c>
      <c r="N2" s="167" t="n"/>
      <c r="O2" s="171" t="n">
        <v>45937</v>
      </c>
      <c r="P2" s="167" t="n"/>
      <c r="Q2" s="20" t="inlineStr">
        <is>
          <t>AUTO</t>
        </is>
      </c>
      <c r="R2" s="20" t="inlineStr">
        <is>
          <t>AUTO</t>
        </is>
      </c>
      <c r="S2" s="20" t="inlineStr">
        <is>
          <t>AUTO</t>
        </is>
      </c>
      <c r="T2" s="21" t="inlineStr">
        <is>
          <t>AUTO</t>
        </is>
      </c>
      <c r="U2" s="172" t="n"/>
      <c r="AL2" s="173" t="n"/>
      <c r="AM2" s="24" t="n"/>
      <c r="AN2" s="25" t="n"/>
      <c r="AO2" s="25" t="n"/>
      <c r="AP2" s="26" t="n"/>
      <c r="AQ2" s="27" t="n"/>
    </row>
    <row r="3" ht="15" customHeight="1" s="158">
      <c r="A3" s="166" t="n">
        <v>1</v>
      </c>
      <c r="B3" s="167" t="n"/>
      <c r="C3" s="168" t="inlineStr">
        <is>
          <t>LINE LIST ISSUED FOR CONSTRUCTION WITH OPTION(S) 3, 9</t>
        </is>
      </c>
      <c r="D3" s="169" t="n"/>
      <c r="E3" s="169" t="n"/>
      <c r="F3" s="169" t="n"/>
      <c r="G3" s="169" t="n"/>
      <c r="H3" s="169" t="n"/>
      <c r="I3" s="169" t="n"/>
      <c r="J3" s="167" t="n"/>
      <c r="K3" s="170" t="inlineStr">
        <is>
          <t>G02-1-PRD0154-M-LL-01-P01-01</t>
        </is>
      </c>
      <c r="L3" s="167" t="n"/>
      <c r="M3" s="170" t="inlineStr">
        <is>
          <t>2026.1111</t>
        </is>
      </c>
      <c r="N3" s="167" t="n"/>
      <c r="O3" s="171" t="n"/>
      <c r="P3" s="167" t="n"/>
      <c r="Q3" s="20" t="inlineStr">
        <is>
          <t>AUTO</t>
        </is>
      </c>
      <c r="R3" s="20" t="inlineStr">
        <is>
          <t>AUTO</t>
        </is>
      </c>
      <c r="S3" s="20" t="inlineStr">
        <is>
          <t>AUTO</t>
        </is>
      </c>
      <c r="T3" s="21" t="inlineStr">
        <is>
          <t>AUTO</t>
        </is>
      </c>
      <c r="U3" s="172" t="n"/>
      <c r="AL3" s="173" t="n"/>
      <c r="AM3" s="24" t="n"/>
      <c r="AN3" s="25" t="n"/>
      <c r="AO3" s="25" t="n"/>
      <c r="AP3" s="26" t="n"/>
      <c r="AQ3" s="27" t="n"/>
    </row>
    <row r="4" ht="15" customHeight="1" s="158">
      <c r="A4" s="144" t="inlineStr"/>
      <c r="B4" s="167" t="n"/>
      <c r="C4" s="145" t="inlineStr"/>
      <c r="D4" s="169" t="n"/>
      <c r="E4" s="169" t="n"/>
      <c r="F4" s="169" t="n"/>
      <c r="G4" s="169" t="n"/>
      <c r="H4" s="169" t="n"/>
      <c r="I4" s="169" t="n"/>
      <c r="J4" s="167" t="n"/>
      <c r="K4" s="145" t="inlineStr"/>
      <c r="L4" s="167" t="n"/>
      <c r="M4" s="145" t="inlineStr"/>
      <c r="N4" s="167" t="n"/>
      <c r="O4" s="174" t="inlineStr"/>
      <c r="P4" s="167" t="n"/>
      <c r="Q4" s="32" t="inlineStr"/>
      <c r="R4" s="32" t="inlineStr"/>
      <c r="S4" s="32" t="inlineStr"/>
      <c r="T4" s="33" t="inlineStr"/>
      <c r="U4" s="172" t="n"/>
      <c r="AL4" s="173" t="n"/>
      <c r="AM4" s="24" t="n"/>
      <c r="AN4" s="25" t="n"/>
      <c r="AO4" s="25" t="n"/>
      <c r="AP4" s="26" t="n"/>
      <c r="AQ4" s="27" t="n"/>
    </row>
    <row r="5" ht="15" customHeight="1" s="158">
      <c r="A5" s="144" t="n"/>
      <c r="B5" s="167" t="n"/>
      <c r="C5" s="145" t="n"/>
      <c r="D5" s="169" t="n"/>
      <c r="E5" s="169" t="n"/>
      <c r="F5" s="169" t="n"/>
      <c r="G5" s="169" t="n"/>
      <c r="H5" s="169" t="n"/>
      <c r="I5" s="169" t="n"/>
      <c r="J5" s="167" t="n"/>
      <c r="K5" s="145" t="n"/>
      <c r="L5" s="167" t="n"/>
      <c r="M5" s="145" t="n"/>
      <c r="N5" s="167" t="n"/>
      <c r="O5" s="175" t="n"/>
      <c r="P5" s="167" t="n"/>
      <c r="Q5" s="32" t="n"/>
      <c r="R5" s="32" t="n"/>
      <c r="S5" s="32" t="n"/>
      <c r="T5" s="33" t="n"/>
      <c r="U5" s="172" t="n"/>
      <c r="AL5" s="173" t="n"/>
      <c r="AM5" s="35" t="n"/>
      <c r="AN5" s="25" t="n"/>
      <c r="AO5" s="25" t="n"/>
      <c r="AP5" s="26" t="n"/>
      <c r="AQ5" s="27" t="n"/>
    </row>
    <row r="6" ht="15" customHeight="1" s="158">
      <c r="A6" s="144" t="n"/>
      <c r="B6" s="167" t="n"/>
      <c r="C6" s="145" t="n"/>
      <c r="D6" s="169" t="n"/>
      <c r="E6" s="169" t="n"/>
      <c r="F6" s="169" t="n"/>
      <c r="G6" s="169" t="n"/>
      <c r="H6" s="169" t="n"/>
      <c r="I6" s="169" t="n"/>
      <c r="J6" s="167" t="n"/>
      <c r="K6" s="145" t="n"/>
      <c r="L6" s="167" t="n"/>
      <c r="M6" s="145" t="n"/>
      <c r="N6" s="167" t="n"/>
      <c r="O6" s="175" t="n"/>
      <c r="P6" s="167" t="n"/>
      <c r="Q6" s="32" t="n"/>
      <c r="R6" s="32" t="n"/>
      <c r="S6" s="32" t="n"/>
      <c r="T6" s="33" t="n"/>
      <c r="U6" s="172" t="n"/>
      <c r="AL6" s="173" t="n"/>
      <c r="AM6" s="24" t="n"/>
      <c r="AN6" s="25" t="n"/>
      <c r="AO6" s="25" t="n"/>
      <c r="AP6" s="26" t="n"/>
      <c r="AQ6" s="27" t="n"/>
    </row>
    <row r="7" ht="15" customHeight="1" s="158">
      <c r="A7" s="144" t="n"/>
      <c r="B7" s="167" t="n"/>
      <c r="C7" s="145" t="n"/>
      <c r="D7" s="169" t="n"/>
      <c r="E7" s="169" t="n"/>
      <c r="F7" s="169" t="n"/>
      <c r="G7" s="169" t="n"/>
      <c r="H7" s="169" t="n"/>
      <c r="I7" s="169" t="n"/>
      <c r="J7" s="167" t="n"/>
      <c r="K7" s="145" t="n"/>
      <c r="L7" s="167" t="n"/>
      <c r="M7" s="145" t="n"/>
      <c r="N7" s="167" t="n"/>
      <c r="O7" s="175" t="n"/>
      <c r="P7" s="167" t="n"/>
      <c r="Q7" s="32" t="n"/>
      <c r="R7" s="32" t="n"/>
      <c r="S7" s="32" t="n"/>
      <c r="T7" s="33" t="n"/>
      <c r="U7" s="172" t="n"/>
      <c r="AL7" s="173" t="n"/>
      <c r="AM7" s="24" t="n"/>
      <c r="AN7" s="25" t="n"/>
      <c r="AO7" s="25" t="n"/>
      <c r="AP7" s="26" t="n"/>
      <c r="AQ7" s="27" t="n"/>
    </row>
    <row r="8" ht="15" customHeight="1" s="158">
      <c r="A8" s="144" t="n"/>
      <c r="B8" s="167" t="n"/>
      <c r="C8" s="145" t="n"/>
      <c r="D8" s="169" t="n"/>
      <c r="E8" s="169" t="n"/>
      <c r="F8" s="169" t="n"/>
      <c r="G8" s="169" t="n"/>
      <c r="H8" s="169" t="n"/>
      <c r="I8" s="169" t="n"/>
      <c r="J8" s="167" t="n"/>
      <c r="K8" s="145" t="n"/>
      <c r="L8" s="167" t="n"/>
      <c r="M8" s="145" t="n"/>
      <c r="N8" s="167" t="n"/>
      <c r="O8" s="175" t="n"/>
      <c r="P8" s="167" t="n"/>
      <c r="Q8" s="32" t="n"/>
      <c r="R8" s="32" t="n"/>
      <c r="S8" s="32" t="n"/>
      <c r="T8" s="33" t="n"/>
      <c r="U8" s="172" t="n"/>
      <c r="AL8" s="173" t="n"/>
      <c r="AM8" s="24" t="n"/>
      <c r="AN8" s="25" t="n"/>
      <c r="AO8" s="25" t="n"/>
      <c r="AP8" s="26" t="n"/>
      <c r="AQ8" s="27" t="n"/>
    </row>
    <row r="9" ht="15" customHeight="1" s="158">
      <c r="A9" s="144" t="n"/>
      <c r="B9" s="167" t="n"/>
      <c r="C9" s="145" t="n"/>
      <c r="D9" s="169" t="n"/>
      <c r="E9" s="169" t="n"/>
      <c r="F9" s="169" t="n"/>
      <c r="G9" s="169" t="n"/>
      <c r="H9" s="169" t="n"/>
      <c r="I9" s="169" t="n"/>
      <c r="J9" s="167" t="n"/>
      <c r="K9" s="145" t="n"/>
      <c r="L9" s="167" t="n"/>
      <c r="M9" s="145" t="n"/>
      <c r="N9" s="167" t="n"/>
      <c r="O9" s="175" t="n"/>
      <c r="P9" s="167" t="n"/>
      <c r="Q9" s="32" t="n"/>
      <c r="R9" s="32" t="n"/>
      <c r="S9" s="32" t="n"/>
      <c r="T9" s="33" t="n"/>
      <c r="U9" s="172" t="n"/>
      <c r="AL9" s="173" t="n"/>
      <c r="AM9" s="24" t="n"/>
      <c r="AN9" s="25" t="n"/>
      <c r="AO9" s="25" t="n"/>
      <c r="AP9" s="26" t="n"/>
      <c r="AQ9" s="27" t="n"/>
    </row>
    <row r="10" ht="15" customHeight="1" s="158">
      <c r="A10" s="144" t="n"/>
      <c r="B10" s="167" t="n"/>
      <c r="C10" s="145" t="n"/>
      <c r="D10" s="169" t="n"/>
      <c r="E10" s="169" t="n"/>
      <c r="F10" s="169" t="n"/>
      <c r="G10" s="169" t="n"/>
      <c r="H10" s="169" t="n"/>
      <c r="I10" s="169" t="n"/>
      <c r="J10" s="167" t="n"/>
      <c r="K10" s="145" t="n"/>
      <c r="L10" s="167" t="n"/>
      <c r="M10" s="145" t="n"/>
      <c r="N10" s="167" t="n"/>
      <c r="O10" s="175" t="n"/>
      <c r="P10" s="167" t="n"/>
      <c r="Q10" s="32" t="n"/>
      <c r="R10" s="32" t="n"/>
      <c r="S10" s="32" t="n"/>
      <c r="T10" s="33" t="n"/>
      <c r="U10" s="172" t="n"/>
      <c r="AL10" s="173" t="n"/>
      <c r="AM10" s="24" t="n"/>
      <c r="AN10" s="25" t="n"/>
      <c r="AO10" s="25" t="n"/>
      <c r="AP10" s="26" t="n"/>
      <c r="AQ10" s="27" t="n"/>
    </row>
    <row r="11" ht="15" customHeight="1" s="158">
      <c r="A11" s="144" t="n"/>
      <c r="B11" s="167" t="n"/>
      <c r="C11" s="145" t="n"/>
      <c r="D11" s="169" t="n"/>
      <c r="E11" s="169" t="n"/>
      <c r="F11" s="169" t="n"/>
      <c r="G11" s="169" t="n"/>
      <c r="H11" s="169" t="n"/>
      <c r="I11" s="169" t="n"/>
      <c r="J11" s="167" t="n"/>
      <c r="K11" s="145" t="n"/>
      <c r="L11" s="167" t="n"/>
      <c r="M11" s="145" t="n"/>
      <c r="N11" s="167" t="n"/>
      <c r="O11" s="175" t="n"/>
      <c r="P11" s="167" t="n"/>
      <c r="Q11" s="32" t="n"/>
      <c r="R11" s="32" t="n"/>
      <c r="S11" s="32" t="n"/>
      <c r="T11" s="33" t="n"/>
      <c r="U11" s="172" t="n"/>
      <c r="AL11" s="173" t="n"/>
      <c r="AM11" s="24" t="n"/>
      <c r="AN11" s="25" t="n"/>
      <c r="AO11" s="25" t="n"/>
      <c r="AP11" s="26" t="n"/>
      <c r="AQ11" s="27" t="n"/>
    </row>
    <row r="12" ht="15" customHeight="1" s="158">
      <c r="A12" s="144" t="n"/>
      <c r="B12" s="167" t="n"/>
      <c r="C12" s="145" t="n"/>
      <c r="D12" s="169" t="n"/>
      <c r="E12" s="169" t="n"/>
      <c r="F12" s="169" t="n"/>
      <c r="G12" s="169" t="n"/>
      <c r="H12" s="169" t="n"/>
      <c r="I12" s="169" t="n"/>
      <c r="J12" s="167" t="n"/>
      <c r="K12" s="145" t="n"/>
      <c r="L12" s="167" t="n"/>
      <c r="M12" s="145" t="n"/>
      <c r="N12" s="167" t="n"/>
      <c r="O12" s="175" t="n"/>
      <c r="P12" s="167" t="n"/>
      <c r="Q12" s="32" t="n"/>
      <c r="R12" s="32" t="n"/>
      <c r="S12" s="32" t="n"/>
      <c r="T12" s="33" t="n"/>
      <c r="U12" s="172" t="n"/>
      <c r="AL12" s="173" t="n"/>
      <c r="AM12" s="24" t="n"/>
      <c r="AN12" s="25" t="n"/>
      <c r="AO12" s="25" t="n"/>
      <c r="AP12" s="26" t="n"/>
      <c r="AQ12" s="27" t="n"/>
    </row>
    <row r="13" ht="15" customHeight="1" s="158">
      <c r="A13" s="144" t="n"/>
      <c r="B13" s="167" t="n"/>
      <c r="C13" s="145" t="n"/>
      <c r="D13" s="169" t="n"/>
      <c r="E13" s="169" t="n"/>
      <c r="F13" s="169" t="n"/>
      <c r="G13" s="169" t="n"/>
      <c r="H13" s="169" t="n"/>
      <c r="I13" s="169" t="n"/>
      <c r="J13" s="167" t="n"/>
      <c r="K13" s="145" t="n"/>
      <c r="L13" s="167" t="n"/>
      <c r="M13" s="145" t="n"/>
      <c r="N13" s="167" t="n"/>
      <c r="O13" s="175" t="n"/>
      <c r="P13" s="167" t="n"/>
      <c r="Q13" s="32" t="n"/>
      <c r="R13" s="32" t="n"/>
      <c r="S13" s="32" t="n"/>
      <c r="T13" s="33" t="n"/>
      <c r="U13" s="172" t="n"/>
      <c r="AL13" s="173" t="n"/>
      <c r="AM13" s="24" t="n"/>
      <c r="AN13" s="25" t="n"/>
      <c r="AO13" s="25" t="n"/>
      <c r="AP13" s="26" t="n"/>
      <c r="AQ13" s="27" t="n"/>
    </row>
    <row r="14" ht="15.75" customHeight="1" s="158">
      <c r="A14" s="176" t="n"/>
      <c r="B14" s="177" t="n"/>
      <c r="C14" s="145" t="n"/>
      <c r="D14" s="169" t="n"/>
      <c r="E14" s="169" t="n"/>
      <c r="F14" s="169" t="n"/>
      <c r="G14" s="169" t="n"/>
      <c r="H14" s="169" t="n"/>
      <c r="I14" s="169" t="n"/>
      <c r="J14" s="167" t="n"/>
      <c r="K14" s="145" t="n"/>
      <c r="L14" s="167" t="n"/>
      <c r="M14" s="145" t="n"/>
      <c r="N14" s="167" t="n"/>
      <c r="O14" s="175" t="n"/>
      <c r="P14" s="167" t="n"/>
      <c r="Q14" s="38" t="n"/>
      <c r="R14" s="38" t="n"/>
      <c r="S14" s="38" t="n"/>
      <c r="T14" s="39" t="n"/>
      <c r="U14" s="178" t="n"/>
      <c r="V14" s="179" t="n"/>
      <c r="W14" s="179" t="n"/>
      <c r="X14" s="179" t="n"/>
      <c r="Y14" s="179" t="n"/>
      <c r="Z14" s="179" t="n"/>
      <c r="AA14" s="179" t="n"/>
      <c r="AB14" s="179" t="n"/>
      <c r="AC14" s="179" t="n"/>
      <c r="AD14" s="179" t="n"/>
      <c r="AE14" s="179" t="n"/>
      <c r="AF14" s="179" t="n"/>
      <c r="AG14" s="179" t="n"/>
      <c r="AH14" s="179" t="n"/>
      <c r="AI14" s="179" t="n"/>
      <c r="AJ14" s="179" t="n"/>
      <c r="AK14" s="179" t="n"/>
      <c r="AL14" s="180" t="n"/>
      <c r="AM14" s="35" t="n"/>
      <c r="AN14" s="43" t="n"/>
      <c r="AO14" s="43" t="n"/>
      <c r="AP14" s="44" t="n"/>
      <c r="AQ14" s="45" t="n"/>
    </row>
    <row r="15" ht="17.25" customHeight="1" s="158">
      <c r="A15" s="46" t="inlineStr">
        <is>
          <t>Notes:</t>
        </is>
      </c>
      <c r="B15" s="47" t="n"/>
      <c r="C15" s="47" t="n"/>
      <c r="D15" s="48" t="n"/>
      <c r="E15" s="47" t="n"/>
      <c r="F15" s="47" t="n"/>
      <c r="G15" s="47" t="n"/>
      <c r="H15" s="47" t="n"/>
      <c r="I15" s="47" t="n"/>
      <c r="J15" s="47" t="n"/>
      <c r="K15" s="47" t="n"/>
      <c r="L15" s="49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50" t="n"/>
      <c r="V15" s="50" t="n"/>
      <c r="W15" s="50" t="n"/>
      <c r="X15" s="50" t="n"/>
      <c r="Y15" s="50" t="n"/>
      <c r="Z15" s="50" t="n"/>
      <c r="AA15" s="51" t="n"/>
      <c r="AB15" s="51" t="n"/>
      <c r="AC15" s="51" t="n"/>
      <c r="AD15" s="52" t="n"/>
      <c r="AE15" s="52" t="n"/>
      <c r="AF15" s="52" t="n"/>
      <c r="AG15" s="52" t="n"/>
      <c r="AH15" s="52" t="n"/>
      <c r="AI15" s="52" t="n"/>
      <c r="AJ15" s="53" t="n"/>
      <c r="AK15" s="181" t="n"/>
      <c r="AL15" s="165" t="n"/>
      <c r="AM15" s="55" t="inlineStr">
        <is>
          <t xml:space="preserve">     Master Document Number: G02-0-M-LL-00-001-01</t>
        </is>
      </c>
      <c r="AN15" s="164" t="n"/>
      <c r="AO15" s="56" t="n"/>
      <c r="AP15" s="57" t="n"/>
      <c r="AQ15" s="58" t="n"/>
    </row>
    <row r="16" ht="17.25" customHeight="1" s="158">
      <c r="A16" s="59" t="inlineStr">
        <is>
          <t>1. The line designation table is only issued in its entirety when it is stamped with either "master line list" or "master line designation table".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1" t="inlineStr">
        <is>
          <t xml:space="preserve">4. Hardness testing may be performed in lieu of PWHT to satisfy NACE Requirements.  PWHT shall not be waived if it is a code, pipe class or </t>
        </is>
      </c>
      <c r="O16" s="60" t="n"/>
      <c r="P16" s="60" t="n"/>
      <c r="Q16" s="60" t="n"/>
      <c r="R16" s="60" t="n"/>
      <c r="S16" s="60" t="n"/>
      <c r="T16" s="62" t="n"/>
      <c r="U16" s="63" t="n"/>
      <c r="V16" s="63" t="n"/>
      <c r="W16" s="63" t="n"/>
      <c r="X16" s="63" t="n"/>
      <c r="Y16" s="63" t="n"/>
      <c r="Z16" s="63" t="n"/>
      <c r="AA16" s="43" t="n"/>
      <c r="AB16" s="43" t="n"/>
      <c r="AC16" s="43" t="n"/>
      <c r="AD16" s="64" t="n"/>
      <c r="AE16" s="64" t="n"/>
      <c r="AF16" s="64" t="n"/>
      <c r="AG16" s="64" t="n"/>
      <c r="AH16" s="64" t="n"/>
      <c r="AI16" s="64" t="n"/>
      <c r="AJ16" s="65" t="n"/>
      <c r="AK16" s="172" t="n"/>
      <c r="AL16" s="173" t="n"/>
      <c r="AM16" s="66">
        <f>CONCATENATE("     Document Number: ",K2)</f>
        <v/>
      </c>
      <c r="AN16" s="179" t="n"/>
      <c r="AO16" s="67" t="n"/>
      <c r="AP16" s="68" t="n"/>
      <c r="AQ16" s="69" t="n"/>
    </row>
    <row r="17" ht="17.25" customHeight="1" s="158">
      <c r="A17" s="59" t="inlineStr">
        <is>
          <t xml:space="preserve">     Otherwise, this line designation table is only part of the master line list for the site LSD listed below.</t>
        </is>
      </c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1" t="inlineStr">
        <is>
          <t xml:space="preserve">     process requirement.  Verify with engineering as to what type of PWHT is stated.</t>
        </is>
      </c>
      <c r="O17" s="60" t="n"/>
      <c r="P17" s="60" t="n"/>
      <c r="Q17" s="60" t="n"/>
      <c r="R17" s="60" t="n"/>
      <c r="S17" s="60" t="n"/>
      <c r="T17" s="62" t="n"/>
      <c r="U17" s="63" t="n"/>
      <c r="V17" s="63" t="n"/>
      <c r="W17" s="63" t="n"/>
      <c r="X17" s="63" t="n"/>
      <c r="Y17" s="63" t="n"/>
      <c r="Z17" s="63" t="n"/>
      <c r="AA17" s="43" t="n"/>
      <c r="AB17" s="43" t="n"/>
      <c r="AC17" s="43" t="n"/>
      <c r="AD17" s="70" t="n"/>
      <c r="AE17" s="70" t="n"/>
      <c r="AF17" s="70" t="n"/>
      <c r="AG17" s="70" t="n"/>
      <c r="AH17" s="70" t="n"/>
      <c r="AI17" s="70" t="n"/>
      <c r="AJ17" s="71" t="n"/>
      <c r="AK17" s="172" t="n"/>
      <c r="AL17" s="173" t="n"/>
      <c r="AM17" s="182" t="inlineStr">
        <is>
          <t>LINE DESIGNATION TABLE</t>
        </is>
      </c>
      <c r="AN17" s="164" t="n"/>
      <c r="AO17" s="164" t="n"/>
      <c r="AP17" s="164" t="n"/>
      <c r="AQ17" s="165" t="n"/>
    </row>
    <row r="18" ht="17.25" customHeight="1" s="158">
      <c r="A18" s="59" t="inlineStr">
        <is>
          <t>2. Hydrostatic test pressure are meant for testing of the piping.  Piping components and subassemblies may be tested either separately or as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73" t="inlineStr">
        <is>
          <t>5. 100% radiography means that all of the butt-welded joints within a given lot are to be radiographed for its entire circumferential weld.</t>
        </is>
      </c>
      <c r="O18" s="60" t="n"/>
      <c r="P18" s="60" t="n"/>
      <c r="Q18" s="60" t="n"/>
      <c r="R18" s="60" t="n"/>
      <c r="S18" s="60" t="n"/>
      <c r="T18" s="62" t="n"/>
      <c r="U18" s="63" t="n"/>
      <c r="V18" s="63" t="n"/>
      <c r="W18" s="63" t="n"/>
      <c r="X18" s="63" t="n"/>
      <c r="Y18" s="63" t="n"/>
      <c r="Z18" s="63" t="n"/>
      <c r="AA18" s="43" t="n"/>
      <c r="AB18" s="43" t="n"/>
      <c r="AC18" s="43" t="n"/>
      <c r="AD18" s="70" t="n"/>
      <c r="AE18" s="70" t="n"/>
      <c r="AF18" s="70" t="n"/>
      <c r="AG18" s="70" t="n"/>
      <c r="AH18" s="70" t="n"/>
      <c r="AI18" s="70" t="n"/>
      <c r="AJ18" s="71" t="n"/>
      <c r="AK18" s="178" t="n"/>
      <c r="AL18" s="180" t="n"/>
      <c r="AM18" s="172" t="n"/>
      <c r="AQ18" s="173" t="n"/>
    </row>
    <row r="19" ht="17.25" customHeight="1" s="158">
      <c r="A19" s="59" t="inlineStr">
        <is>
          <t xml:space="preserve">     assembled piping, subject to the requirements of the code of construction.  Fabricators shall ensure that components not meeting the full</t>
        </is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1" t="inlineStr">
        <is>
          <t>6. Spot radiography (i.e. 10% or 15%) means that a percentage of all butt-welded joints shall be radiographed for its entire circumferential</t>
        </is>
      </c>
      <c r="O19" s="60" t="n"/>
      <c r="P19" s="60" t="n"/>
      <c r="Q19" s="60" t="n"/>
      <c r="R19" s="60" t="n"/>
      <c r="S19" s="60" t="n"/>
      <c r="T19" s="62" t="n"/>
      <c r="U19" s="63" t="n"/>
      <c r="V19" s="63" t="n"/>
      <c r="W19" s="63" t="n"/>
      <c r="X19" s="63" t="n"/>
      <c r="Y19" s="63" t="n"/>
      <c r="Z19" s="63" t="n"/>
      <c r="AA19" s="43" t="n"/>
      <c r="AB19" s="43" t="n"/>
      <c r="AC19" s="43" t="n"/>
      <c r="AD19" s="74" t="n"/>
      <c r="AE19" s="74" t="n"/>
      <c r="AF19" s="74" t="n"/>
      <c r="AG19" s="74" t="n"/>
      <c r="AH19" s="74" t="n"/>
      <c r="AI19" s="74" t="n"/>
      <c r="AJ19" s="75" t="n"/>
      <c r="AK19" s="183" t="n"/>
      <c r="AL19" s="165" t="n"/>
      <c r="AM19" s="184" t="inlineStr">
        <is>
          <t>SCOVAN INC.</t>
        </is>
      </c>
      <c r="AQ19" s="173" t="n"/>
    </row>
    <row r="20" ht="17.25" customHeight="1" s="158">
      <c r="A20" s="59" t="inlineStr">
        <is>
          <t xml:space="preserve">     hydrostatic test pressure are isolated to prevent equipment or component damage.</t>
        </is>
      </c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61" t="inlineStr">
        <is>
          <t xml:space="preserve">     weld.  Progressive sampling as per ASME B31.3 shall be followed.</t>
        </is>
      </c>
      <c r="O20" s="78" t="n"/>
      <c r="P20" s="78" t="n"/>
      <c r="Q20" s="78" t="n"/>
      <c r="R20" s="78" t="n"/>
      <c r="S20" s="78" t="n"/>
      <c r="T20" s="62" t="n"/>
      <c r="U20" s="63" t="n"/>
      <c r="V20" s="63" t="n"/>
      <c r="W20" s="63" t="n"/>
      <c r="X20" s="63" t="n"/>
      <c r="Y20" s="63" t="n"/>
      <c r="Z20" s="63" t="n"/>
      <c r="AA20" s="43" t="n"/>
      <c r="AB20" s="43" t="n"/>
      <c r="AC20" s="43" t="n"/>
      <c r="AD20" s="74" t="n"/>
      <c r="AE20" s="74" t="n"/>
      <c r="AF20" s="74" t="n"/>
      <c r="AG20" s="74" t="n"/>
      <c r="AH20" s="74" t="n"/>
      <c r="AI20" s="74" t="n"/>
      <c r="AJ20" s="75" t="n"/>
      <c r="AK20" s="172" t="n"/>
      <c r="AL20" s="173" t="n"/>
      <c r="AM20" s="185" t="inlineStr">
        <is>
          <t>PADX</t>
        </is>
      </c>
      <c r="AQ20" s="173" t="n"/>
    </row>
    <row r="21" ht="17.25" customHeight="1" s="158">
      <c r="A21" s="59" t="inlineStr">
        <is>
          <t>3. Piping components and subassemblies may be tested either separately or as assembled piping, subject to the requirements of the code of construction.  Item's such as manual</t>
        </is>
      </c>
      <c r="B21" s="78" t="n"/>
      <c r="C21" s="78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61">
        <f>IF(ISNUMBER(SEARCH("XXXX",$K$2)),"","7. This document references the engineering record G02-1-PRDXXXX-M-LL-01-P01-01 Rev. 0 for all technical information.")</f>
        <v/>
      </c>
      <c r="O21" s="78" t="n"/>
      <c r="P21" s="78" t="n"/>
      <c r="Q21" s="78" t="n"/>
      <c r="R21" s="78" t="n"/>
      <c r="S21" s="78" t="n"/>
      <c r="T21" s="62" t="n"/>
      <c r="U21" s="63" t="n"/>
      <c r="V21" s="63" t="n"/>
      <c r="W21" s="63" t="n"/>
      <c r="X21" s="63" t="n"/>
      <c r="Y21" s="63" t="n"/>
      <c r="Z21" s="63" t="n"/>
      <c r="AA21" s="43" t="n"/>
      <c r="AB21" s="43" t="n"/>
      <c r="AC21" s="43" t="n"/>
      <c r="AD21" s="74" t="n"/>
      <c r="AE21" s="74" t="n"/>
      <c r="AF21" s="74" t="n"/>
      <c r="AG21" s="74" t="n"/>
      <c r="AH21" s="74" t="n"/>
      <c r="AI21" s="74" t="n"/>
      <c r="AJ21" s="75" t="n"/>
      <c r="AK21" s="172" t="n"/>
      <c r="AL21" s="173" t="n"/>
      <c r="AM21" s="185" t="inlineStr">
        <is>
          <t>Site Location TBD</t>
        </is>
      </c>
      <c r="AQ21" s="173" t="n"/>
    </row>
    <row r="22" ht="17.25" customHeight="1" s="158">
      <c r="A22" s="59" t="inlineStr">
        <is>
          <t xml:space="preserve">    valves are considered piping components and shall be tested in conjunction with the piping system they are to be installed in, as well as the  applicable code of construction that </t>
        </is>
      </c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  <c r="M22" s="78" t="n"/>
      <c r="N22" s="61">
        <f>IF(ISNUMBER(SEARCH("XXXX",$K$2)),"","    In the event of discrepancy between the document and the engineering document of record, the engineering drawing of")</f>
        <v/>
      </c>
      <c r="O22" s="78" t="n"/>
      <c r="P22" s="78" t="n"/>
      <c r="Q22" s="78" t="n"/>
      <c r="R22" s="78" t="n"/>
      <c r="S22" s="78" t="n"/>
      <c r="T22" s="62" t="n"/>
      <c r="U22" s="63" t="n"/>
      <c r="V22" s="63" t="n"/>
      <c r="W22" s="63" t="n"/>
      <c r="X22" s="63" t="n"/>
      <c r="Y22" s="63" t="n"/>
      <c r="Z22" s="63" t="n"/>
      <c r="AA22" s="43" t="n"/>
      <c r="AB22" s="43" t="n"/>
      <c r="AC22" s="43" t="n"/>
      <c r="AD22" s="74" t="n"/>
      <c r="AE22" s="74" t="n"/>
      <c r="AF22" s="74" t="n"/>
      <c r="AG22" s="74" t="n"/>
      <c r="AH22" s="74" t="n"/>
      <c r="AI22" s="74" t="n"/>
      <c r="AJ22" s="75" t="n"/>
      <c r="AK22" s="172" t="n"/>
      <c r="AL22" s="173" t="n"/>
      <c r="AM22" s="185" t="n"/>
      <c r="AQ22" s="173" t="n"/>
    </row>
    <row r="23" ht="17.25" customHeight="1" s="158">
      <c r="A23" s="59" t="inlineStr">
        <is>
          <t xml:space="preserve">    applies to its operating service. Fabricators shall ensure that components not meeting the full hydrostatic pressure are isolated to prevent equipment or component damage.</t>
        </is>
      </c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  <c r="L23" s="78" t="n"/>
      <c r="M23" s="78" t="n"/>
      <c r="N23" s="61">
        <f>IF(ISNUMBER(SEARCH("XXXX",$K$2)),"","    record will take precedence unless the change is properly clouded as a revision to this document and stamped by a Professional Engineer")</f>
        <v/>
      </c>
      <c r="O23" s="78" t="n"/>
      <c r="P23" s="78" t="n"/>
      <c r="Q23" s="78" t="n"/>
      <c r="R23" s="78" t="n"/>
      <c r="S23" s="78" t="n"/>
      <c r="T23" s="62" t="n"/>
      <c r="U23" s="63" t="n"/>
      <c r="V23" s="63" t="n"/>
      <c r="W23" s="63" t="n"/>
      <c r="X23" s="63" t="n"/>
      <c r="Y23" s="63" t="n"/>
      <c r="Z23" s="63" t="n"/>
      <c r="AA23" s="43" t="n"/>
      <c r="AB23" s="43" t="n"/>
      <c r="AC23" s="43" t="n"/>
      <c r="AD23" s="74" t="n"/>
      <c r="AE23" s="74" t="n"/>
      <c r="AF23" s="74" t="n"/>
      <c r="AG23" s="74" t="n"/>
      <c r="AH23" s="74" t="n"/>
      <c r="AI23" s="74" t="n"/>
      <c r="AJ23" s="75" t="n"/>
      <c r="AK23" s="172" t="n"/>
      <c r="AL23" s="173" t="n"/>
      <c r="AM23" s="79" t="n"/>
      <c r="AN23" s="74" t="n"/>
      <c r="AO23" s="74" t="n"/>
      <c r="AP23" s="74" t="n"/>
      <c r="AQ23" s="75" t="n"/>
    </row>
    <row r="24" ht="18.75" customHeight="1" s="158">
      <c r="A24" s="80" t="inlineStr">
        <is>
          <t>Line Designation</t>
        </is>
      </c>
      <c r="B24" s="161" t="n"/>
      <c r="C24" s="161" t="n"/>
      <c r="D24" s="161" t="n"/>
      <c r="E24" s="161" t="n"/>
      <c r="F24" s="161" t="n"/>
      <c r="G24" s="161" t="n"/>
      <c r="H24" s="81" t="inlineStr">
        <is>
          <t>Client</t>
        </is>
      </c>
      <c r="I24" s="186" t="inlineStr">
        <is>
          <t>Fluid</t>
        </is>
      </c>
      <c r="J24" s="187" t="n"/>
      <c r="K24" s="188" t="inlineStr">
        <is>
          <t>Operating Conditions</t>
        </is>
      </c>
      <c r="L24" s="189" t="n"/>
      <c r="M24" s="188" t="inlineStr">
        <is>
          <t>Piping Design Conditions</t>
        </is>
      </c>
      <c r="N24" s="190" t="n"/>
      <c r="O24" s="189" t="n"/>
      <c r="P24" s="90" t="inlineStr">
        <is>
          <t>Design</t>
        </is>
      </c>
      <c r="Q24" s="189" t="n"/>
      <c r="R24" s="188" t="inlineStr">
        <is>
          <t>Pipe</t>
        </is>
      </c>
      <c r="S24" s="190" t="n"/>
      <c r="T24" s="189" t="n"/>
      <c r="U24" s="191" t="inlineStr">
        <is>
          <t>NDE</t>
        </is>
      </c>
      <c r="V24" s="190" t="n"/>
      <c r="W24" s="190" t="n"/>
      <c r="X24" s="190" t="n"/>
      <c r="Y24" s="190" t="n"/>
      <c r="Z24" s="189" t="n"/>
      <c r="AA24" s="192" t="inlineStr">
        <is>
          <t>PWHT3</t>
        </is>
      </c>
      <c r="AB24" s="188" t="inlineStr">
        <is>
          <t>Pressure Test 2</t>
        </is>
      </c>
      <c r="AC24" s="189" t="n"/>
      <c r="AD24" s="188" t="inlineStr">
        <is>
          <t>Coating</t>
        </is>
      </c>
      <c r="AE24" s="189" t="n"/>
      <c r="AF24" s="90" t="inlineStr">
        <is>
          <t>Client</t>
        </is>
      </c>
      <c r="AG24" s="91" t="inlineStr">
        <is>
          <t>Pad X Standard</t>
        </is>
      </c>
      <c r="AH24" s="188" t="inlineStr">
        <is>
          <t>Package Location</t>
        </is>
      </c>
      <c r="AI24" s="165" t="n"/>
      <c r="AJ24" s="188" t="inlineStr">
        <is>
          <t>Over Pressure Protection</t>
        </is>
      </c>
      <c r="AK24" s="190" t="n"/>
      <c r="AL24" s="189" t="n"/>
      <c r="AM24" s="90" t="inlineStr">
        <is>
          <t>Line Routing</t>
        </is>
      </c>
      <c r="AN24" s="189" t="n"/>
      <c r="AO24" s="193" t="inlineStr">
        <is>
          <t>Comments</t>
        </is>
      </c>
      <c r="AP24" s="194" t="inlineStr">
        <is>
          <t>Regulatory Sheet No.</t>
        </is>
      </c>
      <c r="AQ24" s="195" t="inlineStr">
        <is>
          <t>Line Revision No.</t>
        </is>
      </c>
    </row>
    <row r="25" ht="18.75" customHeight="1" s="158">
      <c r="A25" s="196" t="inlineStr">
        <is>
          <t>NPS</t>
        </is>
      </c>
      <c r="B25" s="197" t="inlineStr">
        <is>
          <t>Comm.</t>
        </is>
      </c>
      <c r="C25" s="197" t="inlineStr">
        <is>
          <t>Line Class</t>
        </is>
      </c>
      <c r="D25" s="198" t="inlineStr">
        <is>
          <t>Line No.</t>
        </is>
      </c>
      <c r="E25" s="197" t="inlineStr">
        <is>
          <t>Insul.</t>
        </is>
      </c>
      <c r="F25" s="197" t="inlineStr">
        <is>
          <t>HT</t>
        </is>
      </c>
      <c r="G25" s="199" t="inlineStr">
        <is>
          <t>Maint. Temp.</t>
        </is>
      </c>
      <c r="H25" s="196" t="inlineStr">
        <is>
          <t>Line No.</t>
        </is>
      </c>
      <c r="I25" s="200" t="inlineStr">
        <is>
          <t>Type</t>
        </is>
      </c>
      <c r="J25" s="201" t="inlineStr">
        <is>
          <t>Phase</t>
        </is>
      </c>
      <c r="K25" s="202" t="inlineStr">
        <is>
          <t>Pressure (kPag)</t>
        </is>
      </c>
      <c r="L25" s="203" t="inlineStr">
        <is>
          <t>Temp. (°C)</t>
        </is>
      </c>
      <c r="M25" s="202" t="inlineStr">
        <is>
          <t>Pressure (kPag)</t>
        </is>
      </c>
      <c r="N25" s="204" t="inlineStr">
        <is>
          <t>Temp. (°C)</t>
        </is>
      </c>
      <c r="O25" s="201" t="inlineStr">
        <is>
          <t>MDMT (°C)</t>
        </is>
      </c>
      <c r="P25" s="202" t="inlineStr">
        <is>
          <t>Code</t>
        </is>
      </c>
      <c r="Q25" s="201" t="inlineStr">
        <is>
          <t>Service</t>
        </is>
      </c>
      <c r="R25" s="202" t="inlineStr">
        <is>
          <t>Conn.</t>
        </is>
      </c>
      <c r="S25" s="204" t="inlineStr">
        <is>
          <t>SCH</t>
        </is>
      </c>
      <c r="T25" s="205" t="inlineStr">
        <is>
          <t>C.A.   
(mm)</t>
        </is>
      </c>
      <c r="U25" s="206" t="inlineStr">
        <is>
          <t>R.T.</t>
        </is>
      </c>
      <c r="V25" s="207" t="inlineStr">
        <is>
          <t>H.T.</t>
        </is>
      </c>
      <c r="W25" s="207" t="inlineStr">
        <is>
          <t>M.T.</t>
        </is>
      </c>
      <c r="X25" s="207" t="inlineStr">
        <is>
          <t>P.T.</t>
        </is>
      </c>
      <c r="Y25" s="207" t="inlineStr">
        <is>
          <t>U.T.</t>
        </is>
      </c>
      <c r="Z25" s="208" t="inlineStr">
        <is>
          <t>V.T.</t>
        </is>
      </c>
      <c r="AB25" s="202" t="inlineStr">
        <is>
          <t>Pressure (kPag)</t>
        </is>
      </c>
      <c r="AC25" s="201" t="inlineStr">
        <is>
          <t>Type</t>
        </is>
      </c>
      <c r="AD25" s="209" t="inlineStr">
        <is>
          <t>Internal</t>
        </is>
      </c>
      <c r="AE25" s="210" t="inlineStr">
        <is>
          <t>External</t>
        </is>
      </c>
      <c r="AF25" s="211" t="inlineStr">
        <is>
          <t xml:space="preserve">P&amp;ID </t>
        </is>
      </c>
      <c r="AG25" s="212" t="inlineStr">
        <is>
          <t>P&amp;ID</t>
        </is>
      </c>
      <c r="AH25" s="172" t="n"/>
      <c r="AI25" s="173" t="n"/>
      <c r="AJ25" s="209" t="inlineStr">
        <is>
          <t>Tag</t>
        </is>
      </c>
      <c r="AK25" s="213" t="inlineStr">
        <is>
          <t>Governing Case</t>
        </is>
      </c>
      <c r="AL25" s="210" t="inlineStr">
        <is>
          <t>Max Pressure     
(kPag)</t>
        </is>
      </c>
      <c r="AM25" s="209" t="inlineStr">
        <is>
          <t>From</t>
        </is>
      </c>
      <c r="AN25" s="210" t="inlineStr">
        <is>
          <t>To</t>
        </is>
      </c>
      <c r="AO25" s="173" t="n"/>
      <c r="AP25" s="214" t="n"/>
      <c r="AQ25" s="214" t="n"/>
    </row>
    <row r="26" ht="32.25" customHeight="1" s="158">
      <c r="A26" s="215" t="n"/>
      <c r="B26" s="216" t="n"/>
      <c r="C26" s="216" t="n"/>
      <c r="D26" s="216" t="n"/>
      <c r="E26" s="216" t="n"/>
      <c r="F26" s="216" t="n"/>
      <c r="G26" s="217" t="n"/>
      <c r="H26" s="215" t="n"/>
      <c r="I26" s="218" t="n"/>
      <c r="J26" s="219" t="n"/>
      <c r="K26" s="215" t="n"/>
      <c r="L26" s="219" t="n"/>
      <c r="M26" s="215" t="n"/>
      <c r="N26" s="216" t="n"/>
      <c r="O26" s="219" t="n"/>
      <c r="P26" s="215" t="n"/>
      <c r="Q26" s="219" t="n"/>
      <c r="R26" s="215" t="n"/>
      <c r="S26" s="216" t="n"/>
      <c r="T26" s="217" t="n"/>
      <c r="U26" s="215" t="n"/>
      <c r="V26" s="216" t="n"/>
      <c r="W26" s="216" t="n"/>
      <c r="X26" s="216" t="n"/>
      <c r="Y26" s="216" t="n"/>
      <c r="Z26" s="219" t="n"/>
      <c r="AA26" s="179" t="n"/>
      <c r="AB26" s="215" t="n"/>
      <c r="AC26" s="219" t="n"/>
      <c r="AD26" s="215" t="n"/>
      <c r="AE26" s="219" t="n"/>
      <c r="AF26" s="220" t="n"/>
      <c r="AG26" s="220" t="n"/>
      <c r="AH26" s="178" t="n"/>
      <c r="AI26" s="180" t="n"/>
      <c r="AJ26" s="215" t="n"/>
      <c r="AK26" s="216" t="n"/>
      <c r="AL26" s="219" t="n"/>
      <c r="AM26" s="215" t="n"/>
      <c r="AN26" s="219" t="n"/>
      <c r="AO26" s="180" t="n"/>
      <c r="AP26" s="220" t="n"/>
      <c r="AQ26" s="220" t="n"/>
    </row>
    <row r="27" ht="18.75" customHeight="1" s="158">
      <c r="A27" s="125" t="n"/>
      <c r="B27" s="126" t="n"/>
      <c r="C27" s="126" t="n"/>
      <c r="D27" s="127" t="n"/>
      <c r="E27" s="126" t="n"/>
      <c r="F27" s="126" t="n"/>
      <c r="G27" s="128" t="n"/>
      <c r="H27" s="129" t="n"/>
      <c r="I27" s="130" t="n"/>
      <c r="J27" s="128" t="n"/>
      <c r="K27" s="125" t="n"/>
      <c r="L27" s="131" t="n"/>
      <c r="M27" s="125" t="n"/>
      <c r="N27" s="126" t="n"/>
      <c r="O27" s="128" t="n"/>
      <c r="P27" s="125" t="n"/>
      <c r="Q27" s="128" t="n"/>
      <c r="R27" s="125" t="n"/>
      <c r="S27" s="126" t="n"/>
      <c r="T27" s="128" t="n"/>
      <c r="U27" s="132" t="n"/>
      <c r="V27" s="133" t="n"/>
      <c r="W27" s="133" t="n"/>
      <c r="X27" s="133" t="n"/>
      <c r="Y27" s="133" t="n"/>
      <c r="Z27" s="134" t="n"/>
      <c r="AA27" s="135" t="n"/>
      <c r="AB27" s="125" t="n"/>
      <c r="AC27" s="128" t="n"/>
      <c r="AD27" s="125" t="n"/>
      <c r="AE27" s="136" t="n"/>
      <c r="AF27" s="137" t="n"/>
      <c r="AG27" s="138" t="n"/>
      <c r="AH27" s="139" t="n"/>
      <c r="AI27" s="137" t="n"/>
      <c r="AJ27" s="129" t="n"/>
      <c r="AK27" s="140" t="n"/>
      <c r="AL27" s="141" t="n"/>
      <c r="AM27" s="129" t="n"/>
      <c r="AN27" s="141" t="n"/>
      <c r="AO27" s="137" t="n"/>
      <c r="AP27" s="142" t="n"/>
      <c r="AQ27" s="143" t="n"/>
    </row>
    <row r="28" ht="18.75" customHeight="1" s="158">
      <c r="A28" s="144" t="n">
        <v>89</v>
      </c>
      <c r="B28" s="145" t="inlineStr">
        <is>
          <t>S</t>
        </is>
      </c>
      <c r="C28" s="145" t="inlineStr">
        <is>
          <t>C1C4</t>
        </is>
      </c>
      <c r="D28" s="146" t="inlineStr">
        <is>
          <t>I0103</t>
        </is>
      </c>
      <c r="E28" s="145" t="inlineStr">
        <is>
          <t>75H</t>
        </is>
      </c>
      <c r="F28" s="145" t="inlineStr">
        <is>
          <t>ET3</t>
        </is>
      </c>
      <c r="G28" s="30" t="n">
        <v>10</v>
      </c>
      <c r="H28" s="144" t="n"/>
      <c r="I28" s="147" t="inlineStr">
        <is>
          <t>Steam</t>
        </is>
      </c>
      <c r="J28" s="30" t="inlineStr">
        <is>
          <t>G</t>
        </is>
      </c>
      <c r="K28" s="144" t="n">
        <v>6500</v>
      </c>
      <c r="L28" s="148" t="n">
        <v>281</v>
      </c>
      <c r="M28" s="144" t="n">
        <v>7900</v>
      </c>
      <c r="N28" s="145" t="n">
        <v>295</v>
      </c>
      <c r="O28" s="30" t="n">
        <v>0</v>
      </c>
      <c r="P28" s="144" t="inlineStr">
        <is>
          <t>B31.3</t>
        </is>
      </c>
      <c r="Q28" s="30" t="inlineStr">
        <is>
          <t>Normal</t>
        </is>
      </c>
      <c r="R28" s="144" t="inlineStr">
        <is>
          <t>BW</t>
        </is>
      </c>
      <c r="S28" s="145" t="inlineStr">
        <is>
          <t>XH</t>
        </is>
      </c>
      <c r="T28" s="30" t="n">
        <v>3.2</v>
      </c>
      <c r="U28" s="149" t="n">
        <v>1</v>
      </c>
      <c r="V28" s="150" t="n">
        <v>0.1</v>
      </c>
      <c r="W28" s="150" t="n">
        <v>1</v>
      </c>
      <c r="X28" s="150" t="inlineStr">
        <is>
          <t>-</t>
        </is>
      </c>
      <c r="Y28" s="150" t="inlineStr">
        <is>
          <t>-</t>
        </is>
      </c>
      <c r="Z28" s="151" t="n">
        <v>1</v>
      </c>
      <c r="AA28" s="152" t="inlineStr">
        <is>
          <t>No</t>
        </is>
      </c>
      <c r="AB28" s="144" t="n">
        <v>15315</v>
      </c>
      <c r="AC28" s="30" t="inlineStr">
        <is>
          <t>Hydro.</t>
        </is>
      </c>
      <c r="AD28" s="144" t="inlineStr">
        <is>
          <t>N/A</t>
        </is>
      </c>
      <c r="AE28" s="153" t="inlineStr">
        <is>
          <t>None</t>
        </is>
      </c>
      <c r="AF28" s="152" t="n"/>
      <c r="AG28" s="154" t="inlineStr">
        <is>
          <t>G02-1-PRD0154-M-PID-01-P01-01</t>
        </is>
      </c>
      <c r="AH28" s="155" t="inlineStr">
        <is>
          <t>MOD-01-P01</t>
        </is>
      </c>
      <c r="AI28" s="29" t="inlineStr">
        <is>
          <t>O/S</t>
        </is>
      </c>
      <c r="AJ28" s="156" t="inlineStr">
        <is>
          <t>TBD</t>
        </is>
      </c>
      <c r="AK28" s="145" t="inlineStr">
        <is>
          <t>PSV</t>
        </is>
      </c>
      <c r="AL28" s="153" t="n">
        <v>7900</v>
      </c>
      <c r="AM28" s="144" t="inlineStr">
        <is>
          <t>89-S-C1C4-I0103 (I01 STEAM INJECTION)</t>
        </is>
      </c>
      <c r="AN28" s="153" t="inlineStr">
        <is>
          <t>89-PG-C1C5-I0103</t>
        </is>
      </c>
      <c r="AO28" s="152" t="n"/>
      <c r="AP28" s="157" t="n">
        <v>0</v>
      </c>
      <c r="AQ28" s="155" t="n">
        <v>0</v>
      </c>
    </row>
    <row r="29" ht="18.75" customHeight="1" s="158">
      <c r="A29" s="144" t="n">
        <v>89</v>
      </c>
      <c r="B29" s="145" t="inlineStr">
        <is>
          <t>PG</t>
        </is>
      </c>
      <c r="C29" s="145" t="inlineStr">
        <is>
          <t>C1C5</t>
        </is>
      </c>
      <c r="D29" s="146" t="inlineStr">
        <is>
          <t>I0103</t>
        </is>
      </c>
      <c r="E29" s="145" t="inlineStr">
        <is>
          <t>75H</t>
        </is>
      </c>
      <c r="F29" s="145" t="inlineStr">
        <is>
          <t>ET3</t>
        </is>
      </c>
      <c r="G29" s="30" t="n">
        <v>10</v>
      </c>
      <c r="H29" s="144" t="n"/>
      <c r="I29" s="147" t="inlineStr">
        <is>
          <t>Steam</t>
        </is>
      </c>
      <c r="J29" s="30" t="inlineStr">
        <is>
          <t>G</t>
        </is>
      </c>
      <c r="K29" s="144" t="n">
        <v>6500</v>
      </c>
      <c r="L29" s="148" t="n">
        <v>281</v>
      </c>
      <c r="M29" s="144" t="n">
        <v>7900</v>
      </c>
      <c r="N29" s="145" t="n">
        <v>295</v>
      </c>
      <c r="O29" s="30" t="n">
        <v>0</v>
      </c>
      <c r="P29" s="144" t="inlineStr">
        <is>
          <t>B31.3</t>
        </is>
      </c>
      <c r="Q29" s="30" t="inlineStr">
        <is>
          <t>Normal</t>
        </is>
      </c>
      <c r="R29" s="144" t="inlineStr">
        <is>
          <t>BW</t>
        </is>
      </c>
      <c r="S29" s="145" t="inlineStr">
        <is>
          <t>XH</t>
        </is>
      </c>
      <c r="T29" s="30" t="n">
        <v>3.2</v>
      </c>
      <c r="U29" s="149" t="n">
        <v>1</v>
      </c>
      <c r="V29" s="150" t="n">
        <v>0.1</v>
      </c>
      <c r="W29" s="150" t="n">
        <v>1</v>
      </c>
      <c r="X29" s="150" t="inlineStr">
        <is>
          <t>-</t>
        </is>
      </c>
      <c r="Y29" s="150" t="inlineStr">
        <is>
          <t>-</t>
        </is>
      </c>
      <c r="Z29" s="151" t="n">
        <v>1</v>
      </c>
      <c r="AA29" s="152" t="inlineStr">
        <is>
          <t>No</t>
        </is>
      </c>
      <c r="AB29" s="144" t="n">
        <v>15315</v>
      </c>
      <c r="AC29" s="30" t="inlineStr">
        <is>
          <t>Hydro.</t>
        </is>
      </c>
      <c r="AD29" s="144" t="inlineStr">
        <is>
          <t>N/A</t>
        </is>
      </c>
      <c r="AE29" s="153" t="inlineStr">
        <is>
          <t>None</t>
        </is>
      </c>
      <c r="AF29" s="152" t="n"/>
      <c r="AG29" s="154" t="inlineStr">
        <is>
          <t>G02-1-PRD0154-M-PID-01-P01-01</t>
        </is>
      </c>
      <c r="AH29" s="155" t="inlineStr">
        <is>
          <t>MOD-01-P01</t>
        </is>
      </c>
      <c r="AI29" s="29" t="inlineStr">
        <is>
          <t>O/S</t>
        </is>
      </c>
      <c r="AJ29" s="156" t="inlineStr">
        <is>
          <t>TBD</t>
        </is>
      </c>
      <c r="AK29" s="145" t="inlineStr">
        <is>
          <t>PSV</t>
        </is>
      </c>
      <c r="AL29" s="153" t="n">
        <v>7900</v>
      </c>
      <c r="AM29" s="144" t="inlineStr">
        <is>
          <t>89-S-C1C4-I0103</t>
        </is>
      </c>
      <c r="AN29" s="153" t="inlineStr">
        <is>
          <t>114-PG-C1C5-P0103</t>
        </is>
      </c>
      <c r="AO29" s="152" t="n"/>
      <c r="AP29" s="157" t="n">
        <v>0</v>
      </c>
      <c r="AQ29" s="155" t="n">
        <v>0</v>
      </c>
    </row>
    <row r="30" ht="18.75" customHeight="1" s="158">
      <c r="A30" s="144" t="n">
        <v>89</v>
      </c>
      <c r="B30" s="145" t="inlineStr">
        <is>
          <t>S</t>
        </is>
      </c>
      <c r="C30" s="145" t="inlineStr">
        <is>
          <t>C1C4</t>
        </is>
      </c>
      <c r="D30" s="146" t="inlineStr">
        <is>
          <t>I0104</t>
        </is>
      </c>
      <c r="E30" s="145" t="inlineStr">
        <is>
          <t>75H</t>
        </is>
      </c>
      <c r="F30" s="145" t="inlineStr">
        <is>
          <t>ET3</t>
        </is>
      </c>
      <c r="G30" s="30" t="n">
        <v>10</v>
      </c>
      <c r="H30" s="144" t="n"/>
      <c r="I30" s="147" t="inlineStr">
        <is>
          <t>Steam</t>
        </is>
      </c>
      <c r="J30" s="30" t="inlineStr">
        <is>
          <t>G</t>
        </is>
      </c>
      <c r="K30" s="144" t="n">
        <v>6500</v>
      </c>
      <c r="L30" s="148" t="n">
        <v>281</v>
      </c>
      <c r="M30" s="144" t="n">
        <v>7900</v>
      </c>
      <c r="N30" s="145" t="n">
        <v>295</v>
      </c>
      <c r="O30" s="30" t="n">
        <v>0</v>
      </c>
      <c r="P30" s="144" t="inlineStr">
        <is>
          <t>B31.3</t>
        </is>
      </c>
      <c r="Q30" s="30" t="inlineStr">
        <is>
          <t>Normal</t>
        </is>
      </c>
      <c r="R30" s="144" t="inlineStr">
        <is>
          <t>BW</t>
        </is>
      </c>
      <c r="S30" s="145" t="inlineStr">
        <is>
          <t>XH</t>
        </is>
      </c>
      <c r="T30" s="30" t="n">
        <v>3.2</v>
      </c>
      <c r="U30" s="149" t="n">
        <v>1</v>
      </c>
      <c r="V30" s="150" t="n">
        <v>0.1</v>
      </c>
      <c r="W30" s="150" t="n">
        <v>1</v>
      </c>
      <c r="X30" s="150" t="inlineStr">
        <is>
          <t>-</t>
        </is>
      </c>
      <c r="Y30" s="150" t="inlineStr">
        <is>
          <t>-</t>
        </is>
      </c>
      <c r="Z30" s="151" t="n">
        <v>1</v>
      </c>
      <c r="AA30" s="152" t="inlineStr">
        <is>
          <t>No</t>
        </is>
      </c>
      <c r="AB30" s="144" t="n">
        <v>15315</v>
      </c>
      <c r="AC30" s="30" t="inlineStr">
        <is>
          <t>Hydro.</t>
        </is>
      </c>
      <c r="AD30" s="144" t="inlineStr">
        <is>
          <t>N/A</t>
        </is>
      </c>
      <c r="AE30" s="153" t="inlineStr">
        <is>
          <t>None</t>
        </is>
      </c>
      <c r="AF30" s="152" t="n"/>
      <c r="AG30" s="154" t="inlineStr">
        <is>
          <t>G02-1-PRD0154-M-PID-01-P01-01</t>
        </is>
      </c>
      <c r="AH30" s="155" t="inlineStr">
        <is>
          <t>MOD-01-P01</t>
        </is>
      </c>
      <c r="AI30" s="29" t="inlineStr">
        <is>
          <t>O/S</t>
        </is>
      </c>
      <c r="AJ30" s="156" t="inlineStr">
        <is>
          <t>TBD</t>
        </is>
      </c>
      <c r="AK30" s="145" t="inlineStr">
        <is>
          <t>PSV</t>
        </is>
      </c>
      <c r="AL30" s="153" t="n">
        <v>7900</v>
      </c>
      <c r="AM30" s="144" t="inlineStr">
        <is>
          <t>89-S-C1C4-I0103</t>
        </is>
      </c>
      <c r="AN30" s="153" t="inlineStr">
        <is>
          <t>89-S-C1C5-I0104</t>
        </is>
      </c>
      <c r="AO30" s="152" t="inlineStr">
        <is>
          <t>Line added with Option 9</t>
        </is>
      </c>
      <c r="AP30" s="157" t="n">
        <v>0</v>
      </c>
      <c r="AQ30" s="155" t="n">
        <v>0</v>
      </c>
    </row>
    <row r="31" ht="18.75" customHeight="1" s="158">
      <c r="A31" s="144" t="n">
        <v>89</v>
      </c>
      <c r="B31" s="145" t="inlineStr">
        <is>
          <t>S</t>
        </is>
      </c>
      <c r="C31" s="145" t="inlineStr">
        <is>
          <t>C1C5</t>
        </is>
      </c>
      <c r="D31" s="146" t="inlineStr">
        <is>
          <t>I0104</t>
        </is>
      </c>
      <c r="E31" s="145" t="inlineStr">
        <is>
          <t>75H</t>
        </is>
      </c>
      <c r="F31" s="145" t="inlineStr">
        <is>
          <t>ET3</t>
        </is>
      </c>
      <c r="G31" s="30" t="n">
        <v>10</v>
      </c>
      <c r="H31" s="144" t="n"/>
      <c r="I31" s="147" t="inlineStr">
        <is>
          <t>Steam</t>
        </is>
      </c>
      <c r="J31" s="30" t="inlineStr">
        <is>
          <t>G</t>
        </is>
      </c>
      <c r="K31" s="144" t="n">
        <v>6500</v>
      </c>
      <c r="L31" s="148" t="n">
        <v>281</v>
      </c>
      <c r="M31" s="144" t="n">
        <v>7900</v>
      </c>
      <c r="N31" s="145" t="n">
        <v>295</v>
      </c>
      <c r="O31" s="30" t="n">
        <v>0</v>
      </c>
      <c r="P31" s="144" t="inlineStr">
        <is>
          <t>B31.3</t>
        </is>
      </c>
      <c r="Q31" s="30" t="inlineStr">
        <is>
          <t>Normal</t>
        </is>
      </c>
      <c r="R31" s="144" t="inlineStr">
        <is>
          <t>BW</t>
        </is>
      </c>
      <c r="S31" s="145" t="inlineStr">
        <is>
          <t>XH</t>
        </is>
      </c>
      <c r="T31" s="30" t="n">
        <v>3.2</v>
      </c>
      <c r="U31" s="149" t="n">
        <v>1</v>
      </c>
      <c r="V31" s="150" t="n">
        <v>0.1</v>
      </c>
      <c r="W31" s="150" t="n">
        <v>1</v>
      </c>
      <c r="X31" s="150" t="inlineStr">
        <is>
          <t>-</t>
        </is>
      </c>
      <c r="Y31" s="150" t="inlineStr">
        <is>
          <t>-</t>
        </is>
      </c>
      <c r="Z31" s="151" t="n">
        <v>1</v>
      </c>
      <c r="AA31" s="152" t="inlineStr">
        <is>
          <t>No</t>
        </is>
      </c>
      <c r="AB31" s="144" t="n">
        <v>15315</v>
      </c>
      <c r="AC31" s="30" t="inlineStr">
        <is>
          <t>Hydro.</t>
        </is>
      </c>
      <c r="AD31" s="144" t="inlineStr">
        <is>
          <t>N/A</t>
        </is>
      </c>
      <c r="AE31" s="153" t="inlineStr">
        <is>
          <t>None</t>
        </is>
      </c>
      <c r="AF31" s="152" t="n"/>
      <c r="AG31" s="154" t="inlineStr">
        <is>
          <t>G02-1-PRD0154-M-PID-01-P01-01</t>
        </is>
      </c>
      <c r="AH31" s="155" t="inlineStr">
        <is>
          <t>MOD-01-P01</t>
        </is>
      </c>
      <c r="AI31" s="29" t="inlineStr">
        <is>
          <t>O/S</t>
        </is>
      </c>
      <c r="AJ31" s="156" t="inlineStr">
        <is>
          <t>TBD</t>
        </is>
      </c>
      <c r="AK31" s="145" t="inlineStr">
        <is>
          <t>PSV</t>
        </is>
      </c>
      <c r="AL31" s="153" t="n">
        <v>7900</v>
      </c>
      <c r="AM31" s="144" t="inlineStr">
        <is>
          <t>89-S-C1C4-I0104</t>
        </is>
      </c>
      <c r="AN31" s="153" t="inlineStr">
        <is>
          <t>114-PE-C1C5-P0101</t>
        </is>
      </c>
      <c r="AO31" s="152" t="inlineStr">
        <is>
          <t>Line added with Option 9</t>
        </is>
      </c>
      <c r="AP31" s="157" t="n">
        <v>0</v>
      </c>
      <c r="AQ31" s="155" t="n">
        <v>0</v>
      </c>
    </row>
    <row r="32" ht="18.75" customHeight="1" s="158">
      <c r="A32" s="144" t="n">
        <v>89</v>
      </c>
      <c r="B32" s="145" t="inlineStr">
        <is>
          <t>PE</t>
        </is>
      </c>
      <c r="C32" s="145" t="inlineStr">
        <is>
          <t>C1C5</t>
        </is>
      </c>
      <c r="D32" s="146" t="inlineStr">
        <is>
          <t>I0105</t>
        </is>
      </c>
      <c r="E32" s="145" t="inlineStr">
        <is>
          <t>64H</t>
        </is>
      </c>
      <c r="F32" s="145" t="inlineStr">
        <is>
          <t>ET3</t>
        </is>
      </c>
      <c r="G32" s="30" t="n">
        <v>60</v>
      </c>
      <c r="H32" s="144" t="n"/>
      <c r="I32" s="147" t="inlineStr">
        <is>
          <t>Emulsion</t>
        </is>
      </c>
      <c r="J32" s="30" t="inlineStr">
        <is>
          <t>L</t>
        </is>
      </c>
      <c r="K32" s="144" t="n">
        <v>3000</v>
      </c>
      <c r="L32" s="148" t="n">
        <v>215</v>
      </c>
      <c r="M32" s="144" t="n">
        <v>7900</v>
      </c>
      <c r="N32" s="145" t="n">
        <v>295</v>
      </c>
      <c r="O32" s="30" t="n">
        <v>-29</v>
      </c>
      <c r="P32" s="144" t="inlineStr">
        <is>
          <t>B31.3</t>
        </is>
      </c>
      <c r="Q32" s="30" t="inlineStr">
        <is>
          <t>Normal</t>
        </is>
      </c>
      <c r="R32" s="144" t="inlineStr">
        <is>
          <t>BW</t>
        </is>
      </c>
      <c r="S32" s="145" t="inlineStr">
        <is>
          <t>XH</t>
        </is>
      </c>
      <c r="T32" s="30" t="n">
        <v>3.2</v>
      </c>
      <c r="U32" s="149" t="n">
        <v>1</v>
      </c>
      <c r="V32" s="150" t="n">
        <v>0.1</v>
      </c>
      <c r="W32" s="150" t="n">
        <v>1</v>
      </c>
      <c r="X32" s="150" t="inlineStr">
        <is>
          <t>-</t>
        </is>
      </c>
      <c r="Y32" s="150" t="inlineStr">
        <is>
          <t>-</t>
        </is>
      </c>
      <c r="Z32" s="151" t="n">
        <v>1</v>
      </c>
      <c r="AA32" s="152" t="inlineStr">
        <is>
          <t>No</t>
        </is>
      </c>
      <c r="AB32" s="144" t="n">
        <v>15315</v>
      </c>
      <c r="AC32" s="30" t="inlineStr">
        <is>
          <t>Hydro.</t>
        </is>
      </c>
      <c r="AD32" s="144" t="inlineStr">
        <is>
          <t>N/A</t>
        </is>
      </c>
      <c r="AE32" s="153" t="inlineStr">
        <is>
          <t>None</t>
        </is>
      </c>
      <c r="AF32" s="152" t="n"/>
      <c r="AG32" s="154" t="inlineStr">
        <is>
          <t>G02-1-PRD0154-M-PID-01-P01-01</t>
        </is>
      </c>
      <c r="AH32" s="155" t="inlineStr">
        <is>
          <t>MOD-01-P01</t>
        </is>
      </c>
      <c r="AI32" s="29" t="inlineStr">
        <is>
          <t>O/S</t>
        </is>
      </c>
      <c r="AJ32" s="156" t="inlineStr">
        <is>
          <t>-</t>
        </is>
      </c>
      <c r="AK32" s="145" t="inlineStr">
        <is>
          <t>OPPSD</t>
        </is>
      </c>
      <c r="AL32" s="153" t="inlineStr">
        <is>
          <t>-</t>
        </is>
      </c>
      <c r="AM32" s="144" t="inlineStr">
        <is>
          <t>89-PE-C1C5-I0105 (INJECTION WELL I01)</t>
        </is>
      </c>
      <c r="AN32" s="153" t="inlineStr">
        <is>
          <t>89-PG-C1C5-P0103</t>
        </is>
      </c>
      <c r="AO32" s="152" t="n"/>
      <c r="AP32" s="157" t="n">
        <v>0</v>
      </c>
      <c r="AQ32" s="155" t="n">
        <v>0</v>
      </c>
    </row>
    <row r="33" ht="18.75" customHeight="1" s="158">
      <c r="A33" s="144" t="n">
        <v>89</v>
      </c>
      <c r="B33" s="145" t="inlineStr">
        <is>
          <t>PE</t>
        </is>
      </c>
      <c r="C33" s="145" t="inlineStr">
        <is>
          <t>C1C5</t>
        </is>
      </c>
      <c r="D33" s="146" t="inlineStr">
        <is>
          <t>P0101</t>
        </is>
      </c>
      <c r="E33" s="145" t="inlineStr">
        <is>
          <t>64H</t>
        </is>
      </c>
      <c r="F33" s="145" t="inlineStr">
        <is>
          <t>ET3</t>
        </is>
      </c>
      <c r="G33" s="30" t="n">
        <v>60</v>
      </c>
      <c r="H33" s="144" t="n"/>
      <c r="I33" s="147" t="inlineStr">
        <is>
          <t>Emulsion</t>
        </is>
      </c>
      <c r="J33" s="30" t="inlineStr">
        <is>
          <t>L</t>
        </is>
      </c>
      <c r="K33" s="144" t="n">
        <v>3000</v>
      </c>
      <c r="L33" s="148" t="n">
        <v>215</v>
      </c>
      <c r="M33" s="144" t="n">
        <v>7900</v>
      </c>
      <c r="N33" s="145" t="n">
        <v>295</v>
      </c>
      <c r="O33" s="30" t="n">
        <v>-29</v>
      </c>
      <c r="P33" s="144" t="inlineStr">
        <is>
          <t>B31.3</t>
        </is>
      </c>
      <c r="Q33" s="30" t="inlineStr">
        <is>
          <t>Normal</t>
        </is>
      </c>
      <c r="R33" s="144" t="inlineStr">
        <is>
          <t>BW</t>
        </is>
      </c>
      <c r="S33" s="145" t="inlineStr">
        <is>
          <t>XH</t>
        </is>
      </c>
      <c r="T33" s="30" t="n">
        <v>3.2</v>
      </c>
      <c r="U33" s="149" t="n">
        <v>1</v>
      </c>
      <c r="V33" s="150" t="n">
        <v>0.1</v>
      </c>
      <c r="W33" s="150" t="n">
        <v>1</v>
      </c>
      <c r="X33" s="150" t="inlineStr">
        <is>
          <t>-</t>
        </is>
      </c>
      <c r="Y33" s="150" t="inlineStr">
        <is>
          <t>-</t>
        </is>
      </c>
      <c r="Z33" s="151" t="n">
        <v>1</v>
      </c>
      <c r="AA33" s="152" t="inlineStr">
        <is>
          <t>No</t>
        </is>
      </c>
      <c r="AB33" s="144" t="n">
        <v>15315</v>
      </c>
      <c r="AC33" s="30" t="inlineStr">
        <is>
          <t>Hydro.</t>
        </is>
      </c>
      <c r="AD33" s="144" t="inlineStr">
        <is>
          <t>N/A</t>
        </is>
      </c>
      <c r="AE33" s="153" t="inlineStr">
        <is>
          <t>None</t>
        </is>
      </c>
      <c r="AF33" s="152" t="n"/>
      <c r="AG33" s="154" t="inlineStr">
        <is>
          <t>G02-1-PRD0154-M-PID-01-P01-01</t>
        </is>
      </c>
      <c r="AH33" s="155" t="inlineStr">
        <is>
          <t>MOD-01-P01</t>
        </is>
      </c>
      <c r="AI33" s="29" t="inlineStr">
        <is>
          <t>O/S</t>
        </is>
      </c>
      <c r="AJ33" s="156" t="inlineStr">
        <is>
          <t>-</t>
        </is>
      </c>
      <c r="AK33" s="145" t="inlineStr">
        <is>
          <t>OPPSD</t>
        </is>
      </c>
      <c r="AL33" s="153" t="inlineStr">
        <is>
          <t>-</t>
        </is>
      </c>
      <c r="AM33" s="144" t="inlineStr">
        <is>
          <t>114-PE-C1C5-P0101</t>
        </is>
      </c>
      <c r="AN33" s="153" t="inlineStr">
        <is>
          <t>89-S-C1C5-I0104</t>
        </is>
      </c>
      <c r="AO33" s="152" t="n"/>
      <c r="AP33" s="157" t="n">
        <v>0</v>
      </c>
      <c r="AQ33" s="155" t="n">
        <v>0</v>
      </c>
    </row>
    <row r="34" ht="18.75" customHeight="1" s="158">
      <c r="A34" s="144" t="n">
        <v>114</v>
      </c>
      <c r="B34" s="145" t="inlineStr">
        <is>
          <t>PE</t>
        </is>
      </c>
      <c r="C34" s="145" t="inlineStr">
        <is>
          <t>C1C5</t>
        </is>
      </c>
      <c r="D34" s="146" t="inlineStr">
        <is>
          <t>P0101</t>
        </is>
      </c>
      <c r="E34" s="145" t="inlineStr">
        <is>
          <t>64H</t>
        </is>
      </c>
      <c r="F34" s="145" t="inlineStr">
        <is>
          <t>ET3</t>
        </is>
      </c>
      <c r="G34" s="30" t="n">
        <v>60</v>
      </c>
      <c r="H34" s="144" t="n"/>
      <c r="I34" s="147" t="inlineStr">
        <is>
          <t>Emulsion</t>
        </is>
      </c>
      <c r="J34" s="30" t="inlineStr">
        <is>
          <t>L</t>
        </is>
      </c>
      <c r="K34" s="144" t="n">
        <v>3000</v>
      </c>
      <c r="L34" s="148" t="n">
        <v>215</v>
      </c>
      <c r="M34" s="144" t="n">
        <v>7900</v>
      </c>
      <c r="N34" s="145" t="n">
        <v>295</v>
      </c>
      <c r="O34" s="30" t="n">
        <v>-29</v>
      </c>
      <c r="P34" s="144" t="inlineStr">
        <is>
          <t>B31.3</t>
        </is>
      </c>
      <c r="Q34" s="30" t="inlineStr">
        <is>
          <t>Normal</t>
        </is>
      </c>
      <c r="R34" s="144" t="inlineStr">
        <is>
          <t>BW</t>
        </is>
      </c>
      <c r="S34" s="145" t="inlineStr">
        <is>
          <t>XH</t>
        </is>
      </c>
      <c r="T34" s="30" t="n">
        <v>3.2</v>
      </c>
      <c r="U34" s="149" t="n">
        <v>1</v>
      </c>
      <c r="V34" s="150" t="n">
        <v>0.1</v>
      </c>
      <c r="W34" s="150" t="n">
        <v>1</v>
      </c>
      <c r="X34" s="150" t="inlineStr">
        <is>
          <t>-</t>
        </is>
      </c>
      <c r="Y34" s="150" t="inlineStr">
        <is>
          <t>-</t>
        </is>
      </c>
      <c r="Z34" s="151" t="n">
        <v>1</v>
      </c>
      <c r="AA34" s="152" t="inlineStr">
        <is>
          <t>No</t>
        </is>
      </c>
      <c r="AB34" s="144" t="n">
        <v>15315</v>
      </c>
      <c r="AC34" s="30" t="inlineStr">
        <is>
          <t>Hydro.</t>
        </is>
      </c>
      <c r="AD34" s="144" t="inlineStr">
        <is>
          <t>N/A</t>
        </is>
      </c>
      <c r="AE34" s="153" t="inlineStr">
        <is>
          <t>None</t>
        </is>
      </c>
      <c r="AF34" s="152" t="n"/>
      <c r="AG34" s="154" t="inlineStr">
        <is>
          <t>G02-1-PRD0154-M-PID-01-P01-01</t>
        </is>
      </c>
      <c r="AH34" s="155" t="inlineStr">
        <is>
          <t>MOD-01-P01</t>
        </is>
      </c>
      <c r="AI34" s="29" t="inlineStr">
        <is>
          <t>O/S</t>
        </is>
      </c>
      <c r="AJ34" s="156" t="inlineStr">
        <is>
          <t>-</t>
        </is>
      </c>
      <c r="AK34" s="145" t="inlineStr">
        <is>
          <t>OPPSD</t>
        </is>
      </c>
      <c r="AL34" s="153" t="inlineStr">
        <is>
          <t>-</t>
        </is>
      </c>
      <c r="AM34" s="144" t="inlineStr">
        <is>
          <t>PRODUCTION WELL P01</t>
        </is>
      </c>
      <c r="AN34" s="153" t="inlineStr">
        <is>
          <t>114-PE-C1C5-P0101 (I01 PE GROUP HEADER)</t>
        </is>
      </c>
      <c r="AO34" s="152" t="n"/>
      <c r="AP34" s="157" t="n">
        <v>0</v>
      </c>
      <c r="AQ34" s="155" t="n">
        <v>0</v>
      </c>
    </row>
    <row r="35" ht="18.75" customHeight="1" s="158">
      <c r="A35" s="144" t="n">
        <v>114</v>
      </c>
      <c r="B35" s="145" t="inlineStr">
        <is>
          <t>PE</t>
        </is>
      </c>
      <c r="C35" s="145" t="inlineStr">
        <is>
          <t>C1C5</t>
        </is>
      </c>
      <c r="D35" s="146" t="inlineStr">
        <is>
          <t>P0102</t>
        </is>
      </c>
      <c r="E35" s="145" t="inlineStr">
        <is>
          <t>64H</t>
        </is>
      </c>
      <c r="F35" s="145" t="inlineStr">
        <is>
          <t>ET3</t>
        </is>
      </c>
      <c r="G35" s="30" t="n">
        <v>60</v>
      </c>
      <c r="H35" s="144" t="n"/>
      <c r="I35" s="147" t="inlineStr">
        <is>
          <t>Emulsion</t>
        </is>
      </c>
      <c r="J35" s="30" t="inlineStr">
        <is>
          <t>L</t>
        </is>
      </c>
      <c r="K35" s="144" t="n">
        <v>3000</v>
      </c>
      <c r="L35" s="148" t="n">
        <v>215</v>
      </c>
      <c r="M35" s="144" t="n">
        <v>7900</v>
      </c>
      <c r="N35" s="145" t="n">
        <v>295</v>
      </c>
      <c r="O35" s="30" t="n">
        <v>-29</v>
      </c>
      <c r="P35" s="144" t="inlineStr">
        <is>
          <t>B31.3</t>
        </is>
      </c>
      <c r="Q35" s="30" t="inlineStr">
        <is>
          <t>Normal</t>
        </is>
      </c>
      <c r="R35" s="144" t="inlineStr">
        <is>
          <t>BW</t>
        </is>
      </c>
      <c r="S35" s="145" t="inlineStr">
        <is>
          <t>XH</t>
        </is>
      </c>
      <c r="T35" s="30" t="n">
        <v>3.2</v>
      </c>
      <c r="U35" s="149" t="n">
        <v>1</v>
      </c>
      <c r="V35" s="150" t="n">
        <v>0.1</v>
      </c>
      <c r="W35" s="150" t="n">
        <v>1</v>
      </c>
      <c r="X35" s="150" t="inlineStr">
        <is>
          <t>-</t>
        </is>
      </c>
      <c r="Y35" s="150" t="inlineStr">
        <is>
          <t>-</t>
        </is>
      </c>
      <c r="Z35" s="151" t="n">
        <v>1</v>
      </c>
      <c r="AA35" s="152" t="inlineStr">
        <is>
          <t>No</t>
        </is>
      </c>
      <c r="AB35" s="144" t="n">
        <v>15315</v>
      </c>
      <c r="AC35" s="30" t="inlineStr">
        <is>
          <t>Hydro.</t>
        </is>
      </c>
      <c r="AD35" s="144" t="inlineStr">
        <is>
          <t>N/A</t>
        </is>
      </c>
      <c r="AE35" s="153" t="inlineStr">
        <is>
          <t>None</t>
        </is>
      </c>
      <c r="AF35" s="152" t="n"/>
      <c r="AG35" s="154" t="inlineStr">
        <is>
          <t>G02-1-PRD0154-M-PID-01-P01-01</t>
        </is>
      </c>
      <c r="AH35" s="155" t="inlineStr">
        <is>
          <t>MOD-01-P01</t>
        </is>
      </c>
      <c r="AI35" s="29" t="inlineStr">
        <is>
          <t>O/S</t>
        </is>
      </c>
      <c r="AJ35" s="156" t="inlineStr">
        <is>
          <t>-</t>
        </is>
      </c>
      <c r="AK35" s="145" t="inlineStr">
        <is>
          <t>OPPSD</t>
        </is>
      </c>
      <c r="AL35" s="153" t="inlineStr">
        <is>
          <t>-</t>
        </is>
      </c>
      <c r="AM35" s="144" t="inlineStr">
        <is>
          <t>114-PE-C1C5-P0101</t>
        </is>
      </c>
      <c r="AN35" s="153" t="inlineStr">
        <is>
          <t>114-PE-C1C5-P0102 (I01 PE TEST HEADER)</t>
        </is>
      </c>
      <c r="AO35" s="152" t="n"/>
      <c r="AP35" s="157" t="n">
        <v>0</v>
      </c>
      <c r="AQ35" s="155" t="n">
        <v>0</v>
      </c>
    </row>
    <row r="36" ht="18.75" customHeight="1" s="158">
      <c r="A36" s="144" t="n">
        <v>89</v>
      </c>
      <c r="B36" s="145" t="inlineStr">
        <is>
          <t>PG</t>
        </is>
      </c>
      <c r="C36" s="145" t="inlineStr">
        <is>
          <t>C1C5</t>
        </is>
      </c>
      <c r="D36" s="146" t="inlineStr">
        <is>
          <t>P0103</t>
        </is>
      </c>
      <c r="E36" s="145" t="inlineStr">
        <is>
          <t>64H</t>
        </is>
      </c>
      <c r="F36" s="145" t="inlineStr">
        <is>
          <t>ET3</t>
        </is>
      </c>
      <c r="G36" s="30" t="n">
        <v>60</v>
      </c>
      <c r="H36" s="144" t="n"/>
      <c r="I36" s="147" t="inlineStr">
        <is>
          <t>Produced Gas</t>
        </is>
      </c>
      <c r="J36" s="30" t="inlineStr">
        <is>
          <t>G</t>
        </is>
      </c>
      <c r="K36" s="144" t="n">
        <v>3000</v>
      </c>
      <c r="L36" s="148" t="n">
        <v>215</v>
      </c>
      <c r="M36" s="144" t="n">
        <v>7900</v>
      </c>
      <c r="N36" s="145" t="n">
        <v>295</v>
      </c>
      <c r="O36" s="30" t="n">
        <v>-29</v>
      </c>
      <c r="P36" s="144" t="inlineStr">
        <is>
          <t>B31.3</t>
        </is>
      </c>
      <c r="Q36" s="30" t="inlineStr">
        <is>
          <t>Normal</t>
        </is>
      </c>
      <c r="R36" s="144" t="inlineStr">
        <is>
          <t>BW</t>
        </is>
      </c>
      <c r="S36" s="145" t="inlineStr">
        <is>
          <t>XH</t>
        </is>
      </c>
      <c r="T36" s="30" t="n">
        <v>3.2</v>
      </c>
      <c r="U36" s="149" t="n">
        <v>1</v>
      </c>
      <c r="V36" s="150" t="n">
        <v>0.1</v>
      </c>
      <c r="W36" s="150" t="n">
        <v>1</v>
      </c>
      <c r="X36" s="150" t="inlineStr">
        <is>
          <t>-</t>
        </is>
      </c>
      <c r="Y36" s="150" t="inlineStr">
        <is>
          <t>-</t>
        </is>
      </c>
      <c r="Z36" s="151" t="n">
        <v>1</v>
      </c>
      <c r="AA36" s="152" t="inlineStr">
        <is>
          <t>No</t>
        </is>
      </c>
      <c r="AB36" s="144" t="n">
        <v>15315</v>
      </c>
      <c r="AC36" s="30" t="inlineStr">
        <is>
          <t>Hydro.</t>
        </is>
      </c>
      <c r="AD36" s="144" t="inlineStr">
        <is>
          <t>N/A</t>
        </is>
      </c>
      <c r="AE36" s="153" t="inlineStr">
        <is>
          <t>None</t>
        </is>
      </c>
      <c r="AF36" s="152" t="n"/>
      <c r="AG36" s="154" t="inlineStr">
        <is>
          <t>G02-1-PRD0154-M-PID-01-P01-01</t>
        </is>
      </c>
      <c r="AH36" s="155" t="inlineStr">
        <is>
          <t>MOD-01-P01</t>
        </is>
      </c>
      <c r="AI36" s="29" t="inlineStr">
        <is>
          <t>O/S</t>
        </is>
      </c>
      <c r="AJ36" s="156" t="inlineStr">
        <is>
          <t>-</t>
        </is>
      </c>
      <c r="AK36" s="145" t="inlineStr">
        <is>
          <t>OPPSD</t>
        </is>
      </c>
      <c r="AL36" s="153" t="inlineStr">
        <is>
          <t>-</t>
        </is>
      </c>
      <c r="AM36" s="144" t="inlineStr">
        <is>
          <t>114-PG-C1C5-P0103</t>
        </is>
      </c>
      <c r="AN36" s="153" t="inlineStr">
        <is>
          <t>89-PE-C1C5-I0105</t>
        </is>
      </c>
      <c r="AO36" s="152" t="n"/>
      <c r="AP36" s="157" t="n">
        <v>0</v>
      </c>
      <c r="AQ36" s="155" t="n">
        <v>0</v>
      </c>
    </row>
    <row r="37" ht="18.75" customHeight="1" s="158">
      <c r="A37" s="144" t="n">
        <v>114</v>
      </c>
      <c r="B37" s="145" t="inlineStr">
        <is>
          <t>PG</t>
        </is>
      </c>
      <c r="C37" s="145" t="inlineStr">
        <is>
          <t>C1C5</t>
        </is>
      </c>
      <c r="D37" s="146" t="inlineStr">
        <is>
          <t>P0103</t>
        </is>
      </c>
      <c r="E37" s="145" t="inlineStr">
        <is>
          <t>64H</t>
        </is>
      </c>
      <c r="F37" s="145" t="inlineStr">
        <is>
          <t>ET3</t>
        </is>
      </c>
      <c r="G37" s="30" t="n">
        <v>60</v>
      </c>
      <c r="H37" s="144" t="n"/>
      <c r="I37" s="147" t="inlineStr">
        <is>
          <t>Produced Gas</t>
        </is>
      </c>
      <c r="J37" s="30" t="inlineStr">
        <is>
          <t>G</t>
        </is>
      </c>
      <c r="K37" s="144" t="n">
        <v>3000</v>
      </c>
      <c r="L37" s="148" t="n">
        <v>215</v>
      </c>
      <c r="M37" s="144" t="n">
        <v>7900</v>
      </c>
      <c r="N37" s="145" t="n">
        <v>295</v>
      </c>
      <c r="O37" s="30" t="n">
        <v>-29</v>
      </c>
      <c r="P37" s="144" t="inlineStr">
        <is>
          <t>B31.3</t>
        </is>
      </c>
      <c r="Q37" s="30" t="inlineStr">
        <is>
          <t>Normal</t>
        </is>
      </c>
      <c r="R37" s="144" t="inlineStr">
        <is>
          <t>BW</t>
        </is>
      </c>
      <c r="S37" s="145" t="inlineStr">
        <is>
          <t>XH</t>
        </is>
      </c>
      <c r="T37" s="30" t="n">
        <v>3.2</v>
      </c>
      <c r="U37" s="149" t="n">
        <v>1</v>
      </c>
      <c r="V37" s="150" t="n">
        <v>0.1</v>
      </c>
      <c r="W37" s="150" t="n">
        <v>1</v>
      </c>
      <c r="X37" s="150" t="inlineStr">
        <is>
          <t>-</t>
        </is>
      </c>
      <c r="Y37" s="150" t="inlineStr">
        <is>
          <t>-</t>
        </is>
      </c>
      <c r="Z37" s="151" t="n">
        <v>1</v>
      </c>
      <c r="AA37" s="152" t="inlineStr">
        <is>
          <t>No</t>
        </is>
      </c>
      <c r="AB37" s="144" t="n">
        <v>15315</v>
      </c>
      <c r="AC37" s="30" t="inlineStr">
        <is>
          <t>Hydro.</t>
        </is>
      </c>
      <c r="AD37" s="144" t="inlineStr">
        <is>
          <t>N/A</t>
        </is>
      </c>
      <c r="AE37" s="153" t="inlineStr">
        <is>
          <t>None</t>
        </is>
      </c>
      <c r="AF37" s="152" t="n"/>
      <c r="AG37" s="154" t="inlineStr">
        <is>
          <t>G02-1-PRD0154-M-PID-01-P01-01</t>
        </is>
      </c>
      <c r="AH37" s="155" t="inlineStr">
        <is>
          <t>MOD-01-P01</t>
        </is>
      </c>
      <c r="AI37" s="29" t="inlineStr">
        <is>
          <t>O/S</t>
        </is>
      </c>
      <c r="AJ37" s="156" t="inlineStr">
        <is>
          <t>-</t>
        </is>
      </c>
      <c r="AK37" s="145" t="inlineStr">
        <is>
          <t>OPPSD</t>
        </is>
      </c>
      <c r="AL37" s="153" t="inlineStr">
        <is>
          <t>-</t>
        </is>
      </c>
      <c r="AM37" s="144" t="inlineStr">
        <is>
          <t>PRODUCTION WELL P01</t>
        </is>
      </c>
      <c r="AN37" s="153" t="inlineStr">
        <is>
          <t>114-PE-C1C5-P0101</t>
        </is>
      </c>
      <c r="AO37" s="152" t="n"/>
      <c r="AP37" s="157" t="n">
        <v>0</v>
      </c>
      <c r="AQ37" s="155" t="n">
        <v>0</v>
      </c>
    </row>
    <row r="38" ht="18.75" customHeight="1" s="158">
      <c r="A38" s="144" t="n">
        <v>89</v>
      </c>
      <c r="B38" s="145" t="inlineStr">
        <is>
          <t>PG</t>
        </is>
      </c>
      <c r="C38" s="145" t="inlineStr">
        <is>
          <t>C1C5</t>
        </is>
      </c>
      <c r="D38" s="146" t="inlineStr">
        <is>
          <t>P0104</t>
        </is>
      </c>
      <c r="E38" s="145" t="inlineStr">
        <is>
          <t>64H</t>
        </is>
      </c>
      <c r="F38" s="145" t="inlineStr">
        <is>
          <t>ET3</t>
        </is>
      </c>
      <c r="G38" s="30" t="n">
        <v>60</v>
      </c>
      <c r="H38" s="144" t="n"/>
      <c r="I38" s="147" t="inlineStr">
        <is>
          <t>Produced Gas</t>
        </is>
      </c>
      <c r="J38" s="30" t="inlineStr">
        <is>
          <t>G</t>
        </is>
      </c>
      <c r="K38" s="144" t="n">
        <v>3000</v>
      </c>
      <c r="L38" s="148" t="n">
        <v>215</v>
      </c>
      <c r="M38" s="144" t="n">
        <v>7900</v>
      </c>
      <c r="N38" s="145" t="n">
        <v>295</v>
      </c>
      <c r="O38" s="30" t="n">
        <v>-29</v>
      </c>
      <c r="P38" s="144" t="inlineStr">
        <is>
          <t>B31.3</t>
        </is>
      </c>
      <c r="Q38" s="30" t="inlineStr">
        <is>
          <t>Normal</t>
        </is>
      </c>
      <c r="R38" s="144" t="inlineStr">
        <is>
          <t>BW</t>
        </is>
      </c>
      <c r="S38" s="145" t="inlineStr">
        <is>
          <t>XH</t>
        </is>
      </c>
      <c r="T38" s="30" t="n">
        <v>3.2</v>
      </c>
      <c r="U38" s="149" t="n">
        <v>1</v>
      </c>
      <c r="V38" s="150" t="n">
        <v>0.1</v>
      </c>
      <c r="W38" s="150" t="n">
        <v>1</v>
      </c>
      <c r="X38" s="150" t="inlineStr">
        <is>
          <t>-</t>
        </is>
      </c>
      <c r="Y38" s="150" t="inlineStr">
        <is>
          <t>-</t>
        </is>
      </c>
      <c r="Z38" s="151" t="n">
        <v>1</v>
      </c>
      <c r="AA38" s="152" t="inlineStr">
        <is>
          <t>No</t>
        </is>
      </c>
      <c r="AB38" s="144" t="n">
        <v>15315</v>
      </c>
      <c r="AC38" s="30" t="inlineStr">
        <is>
          <t>Hydro.</t>
        </is>
      </c>
      <c r="AD38" s="144" t="inlineStr">
        <is>
          <t>N/A</t>
        </is>
      </c>
      <c r="AE38" s="153" t="inlineStr">
        <is>
          <t>None</t>
        </is>
      </c>
      <c r="AF38" s="152" t="n"/>
      <c r="AG38" s="154" t="inlineStr">
        <is>
          <t>G02-1-PRD0154-M-PID-01-P01-01</t>
        </is>
      </c>
      <c r="AH38" s="155" t="inlineStr">
        <is>
          <t>MOD-01-P01</t>
        </is>
      </c>
      <c r="AI38" s="29" t="inlineStr">
        <is>
          <t>O/S</t>
        </is>
      </c>
      <c r="AJ38" s="156" t="inlineStr">
        <is>
          <t>-</t>
        </is>
      </c>
      <c r="AK38" s="145" t="inlineStr">
        <is>
          <t>OPPSD</t>
        </is>
      </c>
      <c r="AL38" s="153" t="inlineStr">
        <is>
          <t>-</t>
        </is>
      </c>
      <c r="AM38" s="144" t="inlineStr">
        <is>
          <t>114-PG-C1C5-P0103</t>
        </is>
      </c>
      <c r="AN38" s="153" t="inlineStr">
        <is>
          <t>89-PG-C1C5-P0104 (I01 PG TEST HEADER)</t>
        </is>
      </c>
      <c r="AO38" s="152" t="inlineStr">
        <is>
          <t>Line added with Option 3</t>
        </is>
      </c>
      <c r="AP38" s="157" t="n">
        <v>0</v>
      </c>
      <c r="AQ38" s="155" t="n">
        <v>0</v>
      </c>
    </row>
    <row r="39" ht="18.75" customHeight="1" s="158">
      <c r="A39" s="144" t="n">
        <v>114</v>
      </c>
      <c r="B39" s="145" t="inlineStr">
        <is>
          <t>PG</t>
        </is>
      </c>
      <c r="C39" s="145" t="inlineStr">
        <is>
          <t>C1C5</t>
        </is>
      </c>
      <c r="D39" s="146" t="inlineStr">
        <is>
          <t>P0105</t>
        </is>
      </c>
      <c r="E39" s="145" t="inlineStr">
        <is>
          <t>64H</t>
        </is>
      </c>
      <c r="F39" s="145" t="inlineStr">
        <is>
          <t>ET3</t>
        </is>
      </c>
      <c r="G39" s="30" t="n">
        <v>60</v>
      </c>
      <c r="H39" s="144" t="n"/>
      <c r="I39" s="147" t="inlineStr">
        <is>
          <t>Produced Gas</t>
        </is>
      </c>
      <c r="J39" s="30" t="inlineStr">
        <is>
          <t>G</t>
        </is>
      </c>
      <c r="K39" s="144" t="n">
        <v>3000</v>
      </c>
      <c r="L39" s="148" t="n">
        <v>215</v>
      </c>
      <c r="M39" s="144" t="n">
        <v>7900</v>
      </c>
      <c r="N39" s="145" t="n">
        <v>295</v>
      </c>
      <c r="O39" s="30" t="n">
        <v>-29</v>
      </c>
      <c r="P39" s="144" t="inlineStr">
        <is>
          <t>B31.3</t>
        </is>
      </c>
      <c r="Q39" s="30" t="inlineStr">
        <is>
          <t>Normal</t>
        </is>
      </c>
      <c r="R39" s="144" t="inlineStr">
        <is>
          <t>BW</t>
        </is>
      </c>
      <c r="S39" s="145" t="inlineStr">
        <is>
          <t>XH</t>
        </is>
      </c>
      <c r="T39" s="30" t="n">
        <v>3.2</v>
      </c>
      <c r="U39" s="149" t="n">
        <v>1</v>
      </c>
      <c r="V39" s="150" t="n">
        <v>0.1</v>
      </c>
      <c r="W39" s="150" t="n">
        <v>1</v>
      </c>
      <c r="X39" s="150" t="inlineStr">
        <is>
          <t>-</t>
        </is>
      </c>
      <c r="Y39" s="150" t="inlineStr">
        <is>
          <t>-</t>
        </is>
      </c>
      <c r="Z39" s="151" t="n">
        <v>1</v>
      </c>
      <c r="AA39" s="152" t="inlineStr">
        <is>
          <t>No</t>
        </is>
      </c>
      <c r="AB39" s="144" t="n">
        <v>15315</v>
      </c>
      <c r="AC39" s="30" t="inlineStr">
        <is>
          <t>Hydro.</t>
        </is>
      </c>
      <c r="AD39" s="144" t="inlineStr">
        <is>
          <t>N/A</t>
        </is>
      </c>
      <c r="AE39" s="153" t="inlineStr">
        <is>
          <t>None</t>
        </is>
      </c>
      <c r="AF39" s="152" t="n"/>
      <c r="AG39" s="154" t="inlineStr">
        <is>
          <t>G02-1-PRD0154-M-PID-01-P01-01</t>
        </is>
      </c>
      <c r="AH39" s="155" t="inlineStr">
        <is>
          <t>MOD-01-P01</t>
        </is>
      </c>
      <c r="AI39" s="29" t="inlineStr">
        <is>
          <t>O/S</t>
        </is>
      </c>
      <c r="AJ39" s="156" t="inlineStr">
        <is>
          <t>-</t>
        </is>
      </c>
      <c r="AK39" s="145" t="inlineStr">
        <is>
          <t>OPPSD</t>
        </is>
      </c>
      <c r="AL39" s="153" t="inlineStr">
        <is>
          <t>-</t>
        </is>
      </c>
      <c r="AM39" s="144" t="inlineStr">
        <is>
          <t>114-PG-C1C5-P0103</t>
        </is>
      </c>
      <c r="AN39" s="153" t="inlineStr">
        <is>
          <t>114-PG-C1C5-P0105 (I01 PG GROUP HEADER)</t>
        </is>
      </c>
      <c r="AO39" s="152" t="n"/>
      <c r="AP39" s="157" t="n">
        <v>0</v>
      </c>
      <c r="AQ39" s="155" t="n">
        <v>0</v>
      </c>
    </row>
    <row r="40" ht="18.75" customHeight="1" s="158">
      <c r="A40" s="144" t="n">
        <v>33</v>
      </c>
      <c r="B40" s="145" t="inlineStr">
        <is>
          <t>FG</t>
        </is>
      </c>
      <c r="C40" s="145" t="inlineStr">
        <is>
          <t>C2C5</t>
        </is>
      </c>
      <c r="D40" s="146" t="inlineStr">
        <is>
          <t>P0106</t>
        </is>
      </c>
      <c r="E40" s="145" t="inlineStr">
        <is>
          <t>38H</t>
        </is>
      </c>
      <c r="F40" s="145" t="inlineStr">
        <is>
          <t>ET1</t>
        </is>
      </c>
      <c r="G40" s="30" t="n">
        <v>10</v>
      </c>
      <c r="H40" s="144" t="n"/>
      <c r="I40" s="147" t="inlineStr">
        <is>
          <t>Fuel Gas</t>
        </is>
      </c>
      <c r="J40" s="30" t="inlineStr">
        <is>
          <t>G</t>
        </is>
      </c>
      <c r="K40" s="144" t="n">
        <v>5500</v>
      </c>
      <c r="L40" s="148" t="n">
        <v>50</v>
      </c>
      <c r="M40" s="144" t="n">
        <v>7900</v>
      </c>
      <c r="N40" s="145" t="n">
        <v>295</v>
      </c>
      <c r="O40" s="30" t="n">
        <v>-45</v>
      </c>
      <c r="P40" s="144" t="inlineStr">
        <is>
          <t>B31.3</t>
        </is>
      </c>
      <c r="Q40" s="30" t="inlineStr">
        <is>
          <t>Normal</t>
        </is>
      </c>
      <c r="R40" s="144" t="inlineStr">
        <is>
          <t>SW</t>
        </is>
      </c>
      <c r="S40" s="145" t="n">
        <v>160</v>
      </c>
      <c r="T40" s="30" t="n">
        <v>3.2</v>
      </c>
      <c r="U40" s="149" t="inlineStr">
        <is>
          <t>-</t>
        </is>
      </c>
      <c r="V40" s="150" t="n">
        <v>0.1</v>
      </c>
      <c r="W40" s="150" t="n">
        <v>1</v>
      </c>
      <c r="X40" s="150" t="inlineStr">
        <is>
          <t>-</t>
        </is>
      </c>
      <c r="Y40" s="150" t="inlineStr">
        <is>
          <t>-</t>
        </is>
      </c>
      <c r="Z40" s="151" t="n">
        <v>1</v>
      </c>
      <c r="AA40" s="152" t="inlineStr">
        <is>
          <t>No</t>
        </is>
      </c>
      <c r="AB40" s="144" t="n">
        <v>15315</v>
      </c>
      <c r="AC40" s="30" t="inlineStr">
        <is>
          <t>Hydro.</t>
        </is>
      </c>
      <c r="AD40" s="144" t="inlineStr">
        <is>
          <t>N/A</t>
        </is>
      </c>
      <c r="AE40" s="153" t="inlineStr">
        <is>
          <t>None</t>
        </is>
      </c>
      <c r="AF40" s="152" t="n"/>
      <c r="AG40" s="154" t="inlineStr">
        <is>
          <t>G02-1-PRD0154-M-PID-01-P01-01</t>
        </is>
      </c>
      <c r="AH40" s="155" t="inlineStr">
        <is>
          <t>MOD-01-P01</t>
        </is>
      </c>
      <c r="AI40" s="29" t="inlineStr">
        <is>
          <t>O/S</t>
        </is>
      </c>
      <c r="AJ40" s="156" t="inlineStr">
        <is>
          <t>-</t>
        </is>
      </c>
      <c r="AK40" s="145" t="inlineStr">
        <is>
          <t>OPPSD</t>
        </is>
      </c>
      <c r="AL40" s="153" t="inlineStr">
        <is>
          <t>-</t>
        </is>
      </c>
      <c r="AM40" s="144" t="inlineStr">
        <is>
          <t>33-FG-C2C5-P0106 (I01 FG HEADER)</t>
        </is>
      </c>
      <c r="AN40" s="153" t="inlineStr">
        <is>
          <t>PRODUCTION WELL P01</t>
        </is>
      </c>
      <c r="AO40" s="152" t="n"/>
      <c r="AP40" s="157" t="n">
        <v>0</v>
      </c>
      <c r="AQ40" s="155" t="n">
        <v>0</v>
      </c>
    </row>
    <row r="41" ht="18.75" customHeight="1" s="158">
      <c r="A41" s="144" t="n">
        <v>33</v>
      </c>
      <c r="B41" s="145" t="inlineStr">
        <is>
          <t>FG</t>
        </is>
      </c>
      <c r="C41" s="145" t="inlineStr">
        <is>
          <t>C2C5</t>
        </is>
      </c>
      <c r="D41" s="146" t="inlineStr">
        <is>
          <t>P0107</t>
        </is>
      </c>
      <c r="E41" s="145" t="inlineStr">
        <is>
          <t>38H</t>
        </is>
      </c>
      <c r="F41" s="145" t="inlineStr">
        <is>
          <t>ET1</t>
        </is>
      </c>
      <c r="G41" s="30" t="n">
        <v>10</v>
      </c>
      <c r="H41" s="144" t="n"/>
      <c r="I41" s="147" t="inlineStr">
        <is>
          <t>Fuel Gas</t>
        </is>
      </c>
      <c r="J41" s="30" t="inlineStr">
        <is>
          <t>G</t>
        </is>
      </c>
      <c r="K41" s="144" t="n">
        <v>5500</v>
      </c>
      <c r="L41" s="148" t="n">
        <v>50</v>
      </c>
      <c r="M41" s="144" t="n">
        <v>7900</v>
      </c>
      <c r="N41" s="145" t="n">
        <v>295</v>
      </c>
      <c r="O41" s="30" t="n">
        <v>-45</v>
      </c>
      <c r="P41" s="144" t="inlineStr">
        <is>
          <t>B31.3</t>
        </is>
      </c>
      <c r="Q41" s="30" t="inlineStr">
        <is>
          <t>Normal</t>
        </is>
      </c>
      <c r="R41" s="144" t="inlineStr">
        <is>
          <t>SW</t>
        </is>
      </c>
      <c r="S41" s="145" t="n">
        <v>160</v>
      </c>
      <c r="T41" s="30" t="n">
        <v>3.2</v>
      </c>
      <c r="U41" s="149" t="inlineStr">
        <is>
          <t>-</t>
        </is>
      </c>
      <c r="V41" s="150" t="n">
        <v>0.1</v>
      </c>
      <c r="W41" s="150" t="n">
        <v>1</v>
      </c>
      <c r="X41" s="150" t="inlineStr">
        <is>
          <t>-</t>
        </is>
      </c>
      <c r="Y41" s="150" t="inlineStr">
        <is>
          <t>-</t>
        </is>
      </c>
      <c r="Z41" s="151" t="n">
        <v>1</v>
      </c>
      <c r="AA41" s="152" t="inlineStr">
        <is>
          <t>No</t>
        </is>
      </c>
      <c r="AB41" s="144" t="n">
        <v>15315</v>
      </c>
      <c r="AC41" s="30" t="inlineStr">
        <is>
          <t>Hydro.</t>
        </is>
      </c>
      <c r="AD41" s="144" t="inlineStr">
        <is>
          <t>N/A</t>
        </is>
      </c>
      <c r="AE41" s="153" t="inlineStr">
        <is>
          <t>None</t>
        </is>
      </c>
      <c r="AF41" s="152" t="n"/>
      <c r="AG41" s="154" t="inlineStr">
        <is>
          <t>G02-1-PRD0154-M-PID-01-P01-01</t>
        </is>
      </c>
      <c r="AH41" s="155" t="inlineStr">
        <is>
          <t>MOD-01-P01</t>
        </is>
      </c>
      <c r="AI41" s="29" t="inlineStr">
        <is>
          <t>O/S</t>
        </is>
      </c>
      <c r="AJ41" s="156" t="inlineStr">
        <is>
          <t>-</t>
        </is>
      </c>
      <c r="AK41" s="145" t="inlineStr">
        <is>
          <t>OPPSD</t>
        </is>
      </c>
      <c r="AL41" s="153" t="inlineStr">
        <is>
          <t>-</t>
        </is>
      </c>
      <c r="AM41" s="144" t="inlineStr">
        <is>
          <t>33-FG-C2C5-P0106</t>
        </is>
      </c>
      <c r="AN41" s="153" t="inlineStr">
        <is>
          <t>33-FG-C2C5-P0106</t>
        </is>
      </c>
      <c r="AO41" s="152" t="n"/>
      <c r="AP41" s="157" t="n">
        <v>0</v>
      </c>
      <c r="AQ41" s="155" t="n">
        <v>0</v>
      </c>
    </row>
    <row r="42" ht="18.75" customHeight="1" s="158">
      <c r="A42" s="144" t="n">
        <v>9.5</v>
      </c>
      <c r="B42" s="145" t="inlineStr">
        <is>
          <t>IA</t>
        </is>
      </c>
      <c r="C42" s="145" t="inlineStr">
        <is>
          <t>A2B1</t>
        </is>
      </c>
      <c r="D42" s="146" t="inlineStr">
        <is>
          <t>P0108</t>
        </is>
      </c>
      <c r="E42" s="145" t="inlineStr">
        <is>
          <t>-</t>
        </is>
      </c>
      <c r="F42" s="145" t="inlineStr">
        <is>
          <t>-</t>
        </is>
      </c>
      <c r="G42" s="30" t="inlineStr">
        <is>
          <t>-</t>
        </is>
      </c>
      <c r="H42" s="144" t="n"/>
      <c r="I42" s="147" t="inlineStr">
        <is>
          <t>Instrument Air</t>
        </is>
      </c>
      <c r="J42" s="30" t="inlineStr">
        <is>
          <t>Air</t>
        </is>
      </c>
      <c r="K42" s="144" t="n">
        <v>700</v>
      </c>
      <c r="L42" s="148" t="n">
        <v>15</v>
      </c>
      <c r="M42" s="144" t="n">
        <v>1034</v>
      </c>
      <c r="N42" s="145" t="n">
        <v>150</v>
      </c>
      <c r="O42" s="30" t="n">
        <v>-45</v>
      </c>
      <c r="P42" s="144" t="inlineStr">
        <is>
          <t>B31.3</t>
        </is>
      </c>
      <c r="Q42" s="30" t="inlineStr">
        <is>
          <t>Cat. D</t>
        </is>
      </c>
      <c r="R42" s="144" t="inlineStr">
        <is>
          <t>Tubing</t>
        </is>
      </c>
      <c r="S42" s="145" t="n">
        <v>0.035</v>
      </c>
      <c r="T42" s="30" t="n">
        <v>0</v>
      </c>
      <c r="U42" s="149" t="inlineStr">
        <is>
          <t>-</t>
        </is>
      </c>
      <c r="V42" s="150" t="inlineStr">
        <is>
          <t>-</t>
        </is>
      </c>
      <c r="W42" s="150" t="inlineStr">
        <is>
          <t>-</t>
        </is>
      </c>
      <c r="X42" s="150" t="inlineStr">
        <is>
          <t>-</t>
        </is>
      </c>
      <c r="Y42" s="150" t="inlineStr">
        <is>
          <t>-</t>
        </is>
      </c>
      <c r="Z42" s="151" t="n">
        <v>1</v>
      </c>
      <c r="AA42" s="152" t="inlineStr">
        <is>
          <t>No</t>
        </is>
      </c>
      <c r="AB42" s="144" t="n">
        <v>700</v>
      </c>
      <c r="AC42" s="30" t="inlineStr">
        <is>
          <t>Leak</t>
        </is>
      </c>
      <c r="AD42" s="144" t="inlineStr">
        <is>
          <t>N/A</t>
        </is>
      </c>
      <c r="AE42" s="153" t="inlineStr">
        <is>
          <t>None</t>
        </is>
      </c>
      <c r="AF42" s="152" t="n"/>
      <c r="AG42" s="154" t="inlineStr">
        <is>
          <t>G02-1-PRD0154-M-PID-01-P01-01</t>
        </is>
      </c>
      <c r="AH42" s="155" t="inlineStr">
        <is>
          <t>MOD-01-P01</t>
        </is>
      </c>
      <c r="AI42" s="29" t="inlineStr">
        <is>
          <t>O/S</t>
        </is>
      </c>
      <c r="AJ42" s="156" t="inlineStr">
        <is>
          <t>TBD</t>
        </is>
      </c>
      <c r="AK42" s="145" t="inlineStr">
        <is>
          <t>PSV</t>
        </is>
      </c>
      <c r="AL42" s="153" t="n">
        <v>1034</v>
      </c>
      <c r="AM42" s="144" t="inlineStr">
        <is>
          <t>33-IA-A2B1-P0108</t>
        </is>
      </c>
      <c r="AN42" s="153" t="inlineStr">
        <is>
          <t>PRODUCTION CONTROLS (MOD P01)</t>
        </is>
      </c>
      <c r="AO42" s="152" t="inlineStr">
        <is>
          <t>Leak test in lieu of hydro per note S32</t>
        </is>
      </c>
      <c r="AP42" s="157" t="n">
        <v>0</v>
      </c>
      <c r="AQ42" s="155" t="n">
        <v>0</v>
      </c>
    </row>
    <row r="43" ht="18.75" customHeight="1" s="158">
      <c r="A43" s="144" t="n">
        <v>33</v>
      </c>
      <c r="B43" s="145" t="inlineStr">
        <is>
          <t>IA</t>
        </is>
      </c>
      <c r="C43" s="145" t="inlineStr">
        <is>
          <t>A2B1</t>
        </is>
      </c>
      <c r="D43" s="146" t="inlineStr">
        <is>
          <t>P0108</t>
        </is>
      </c>
      <c r="E43" s="145" t="inlineStr">
        <is>
          <t>-</t>
        </is>
      </c>
      <c r="F43" s="145" t="inlineStr">
        <is>
          <t>-</t>
        </is>
      </c>
      <c r="G43" s="30" t="inlineStr">
        <is>
          <t>-</t>
        </is>
      </c>
      <c r="H43" s="144" t="n"/>
      <c r="I43" s="147" t="inlineStr">
        <is>
          <t>Instrument Air</t>
        </is>
      </c>
      <c r="J43" s="30" t="inlineStr">
        <is>
          <t>Air</t>
        </is>
      </c>
      <c r="K43" s="144" t="n">
        <v>700</v>
      </c>
      <c r="L43" s="148" t="n">
        <v>15</v>
      </c>
      <c r="M43" s="144" t="n">
        <v>1034</v>
      </c>
      <c r="N43" s="145" t="n">
        <v>150</v>
      </c>
      <c r="O43" s="30" t="n">
        <v>-45</v>
      </c>
      <c r="P43" s="144" t="inlineStr">
        <is>
          <t>B31.3</t>
        </is>
      </c>
      <c r="Q43" s="30" t="inlineStr">
        <is>
          <t>Cat. D</t>
        </is>
      </c>
      <c r="R43" s="144" t="inlineStr">
        <is>
          <t>THD</t>
        </is>
      </c>
      <c r="S43" s="145" t="inlineStr">
        <is>
          <t>XH</t>
        </is>
      </c>
      <c r="T43" s="30" t="n">
        <v>1.6</v>
      </c>
      <c r="U43" s="149" t="inlineStr">
        <is>
          <t>-</t>
        </is>
      </c>
      <c r="V43" s="150" t="inlineStr">
        <is>
          <t>-</t>
        </is>
      </c>
      <c r="W43" s="150" t="inlineStr">
        <is>
          <t>-</t>
        </is>
      </c>
      <c r="X43" s="150" t="inlineStr">
        <is>
          <t>-</t>
        </is>
      </c>
      <c r="Y43" s="150" t="inlineStr">
        <is>
          <t>-</t>
        </is>
      </c>
      <c r="Z43" s="151" t="n">
        <v>1</v>
      </c>
      <c r="AA43" s="152" t="inlineStr">
        <is>
          <t>No</t>
        </is>
      </c>
      <c r="AB43" s="144" t="n">
        <v>2940</v>
      </c>
      <c r="AC43" s="30" t="inlineStr">
        <is>
          <t>Hydro.</t>
        </is>
      </c>
      <c r="AD43" s="144" t="inlineStr">
        <is>
          <t>N/A</t>
        </is>
      </c>
      <c r="AE43" s="153" t="inlineStr">
        <is>
          <t>None</t>
        </is>
      </c>
      <c r="AF43" s="152" t="n"/>
      <c r="AG43" s="154" t="inlineStr">
        <is>
          <t>G02-1-PRD0154-M-PID-01-P01-01</t>
        </is>
      </c>
      <c r="AH43" s="155" t="inlineStr">
        <is>
          <t>MOD-01-P01</t>
        </is>
      </c>
      <c r="AI43" s="29" t="inlineStr">
        <is>
          <t>O/S</t>
        </is>
      </c>
      <c r="AJ43" s="156" t="inlineStr">
        <is>
          <t>TBD</t>
        </is>
      </c>
      <c r="AK43" s="145" t="inlineStr">
        <is>
          <t>PSV</t>
        </is>
      </c>
      <c r="AL43" s="153" t="n">
        <v>1034</v>
      </c>
      <c r="AM43" s="144" t="inlineStr">
        <is>
          <t>33-IA-A2B1-P0108 (I01 IA HEADER)</t>
        </is>
      </c>
      <c r="AN43" s="153" t="inlineStr">
        <is>
          <t>33-IA-A2B1-P0108</t>
        </is>
      </c>
      <c r="AO43" s="152" t="n"/>
      <c r="AP43" s="157" t="n">
        <v>0</v>
      </c>
      <c r="AQ43" s="155" t="n">
        <v>0</v>
      </c>
    </row>
    <row r="44" ht="18.75" customHeight="1" s="158"/>
    <row r="45" ht="18.75" customHeight="1" s="158"/>
    <row r="46" ht="18.75" customHeight="1" s="158"/>
    <row r="47" ht="18.75" customHeight="1" s="158"/>
    <row r="48" ht="18.75" customHeight="1" s="158"/>
    <row r="49" ht="18.75" customHeight="1" s="158"/>
    <row r="50" ht="18.75" customHeight="1" s="158"/>
    <row r="51" ht="18.75" customHeight="1" s="158"/>
    <row r="52" ht="18.75" customHeight="1" s="158"/>
    <row r="53" ht="18.75" customHeight="1" s="158"/>
    <row r="54" ht="18.75" customHeight="1" s="158"/>
    <row r="55" ht="18.75" customHeight="1" s="158"/>
    <row r="56" ht="18.75" customHeight="1" s="158"/>
    <row r="57" ht="18.75" customHeight="1" s="158"/>
    <row r="58" ht="18.75" customHeight="1" s="158"/>
    <row r="59" ht="18.75" customHeight="1" s="158"/>
    <row r="60" ht="18.75" customHeight="1" s="158"/>
    <row r="61" ht="18.75" customHeight="1" s="158"/>
    <row r="62" ht="18.75" customHeight="1" s="158"/>
    <row r="63" ht="18.75" customHeight="1" s="158"/>
    <row r="64" ht="18.75" customHeight="1" s="158"/>
    <row r="65" ht="18.75" customHeight="1" s="158"/>
    <row r="66" ht="18.75" customHeight="1" s="158"/>
    <row r="67" ht="18.75" customHeight="1" s="158"/>
    <row r="68" ht="18.75" customHeight="1" s="158"/>
    <row r="69" ht="18.75" customHeight="1" s="158"/>
    <row r="70" ht="18.75" customHeight="1" s="158"/>
    <row r="71" ht="18.75" customHeight="1" s="158"/>
    <row r="72" ht="18.75" customHeight="1" s="158"/>
    <row r="73" ht="18.75" customHeight="1" s="158"/>
    <row r="74" ht="18.75" customHeight="1" s="158"/>
    <row r="75" ht="18.75" customHeight="1" s="158"/>
    <row r="76" ht="18.75" customHeight="1" s="158"/>
    <row r="77" ht="18.75" customHeight="1" s="158"/>
    <row r="78" ht="18.75" customHeight="1" s="158"/>
    <row r="79" ht="18.75" customHeight="1" s="158"/>
    <row r="80" ht="18.75" customHeight="1" s="158"/>
    <row r="81" ht="18.75" customHeight="1" s="158"/>
    <row r="82" ht="18.75" customHeight="1" s="158"/>
    <row r="83" ht="18.75" customHeight="1" s="158"/>
    <row r="84" ht="18.75" customHeight="1" s="158"/>
    <row r="85" ht="18.75" customHeight="1" s="158"/>
    <row r="86" ht="18.75" customHeight="1" s="158"/>
    <row r="87" ht="18.75" customHeight="1" s="158"/>
    <row r="88" ht="18.75" customHeight="1" s="158"/>
    <row r="89" ht="18.75" customHeight="1" s="158"/>
    <row r="90" ht="18.75" customHeight="1" s="158"/>
    <row r="91" ht="18.75" customHeight="1" s="158"/>
    <row r="92" ht="18.75" customHeight="1" s="158"/>
    <row r="93" ht="18.75" customHeight="1" s="158"/>
    <row r="94" ht="18.75" customHeight="1" s="158"/>
    <row r="95" ht="18.75" customHeight="1" s="158"/>
    <row r="96" ht="18.75" customHeight="1" s="158"/>
    <row r="97" ht="18.75" customHeight="1" s="158"/>
    <row r="98" ht="18.75" customHeight="1" s="158"/>
    <row r="99" ht="18.75" customHeight="1" s="158"/>
    <row r="100" ht="18.75" customHeight="1" s="158"/>
    <row r="101" ht="18.75" customHeight="1" s="158"/>
    <row r="102" ht="18.75" customHeight="1" s="158"/>
    <row r="103" ht="18.75" customHeight="1" s="158"/>
    <row r="104" ht="18.75" customHeight="1" s="158"/>
    <row r="105" ht="18.75" customHeight="1" s="158"/>
    <row r="106" ht="18.75" customHeight="1" s="158"/>
    <row r="107" ht="18.75" customHeight="1" s="158"/>
    <row r="108" ht="18.75" customHeight="1" s="158"/>
    <row r="109" ht="18.75" customHeight="1" s="158"/>
    <row r="110" ht="18.75" customHeight="1" s="158"/>
    <row r="111" ht="18.75" customHeight="1" s="158"/>
    <row r="112" ht="18.75" customHeight="1" s="158"/>
    <row r="113" ht="18.75" customHeight="1" s="158"/>
    <row r="114" ht="18.75" customHeight="1" s="158"/>
    <row r="115" ht="18.75" customHeight="1" s="158"/>
    <row r="116" ht="18.75" customHeight="1" s="158"/>
    <row r="117" ht="18.75" customHeight="1" s="158"/>
    <row r="118" ht="18.75" customHeight="1" s="158"/>
    <row r="119" ht="18.75" customHeight="1" s="158"/>
    <row r="120" ht="18.75" customHeight="1" s="158"/>
    <row r="121" ht="18.75" customHeight="1" s="158"/>
    <row r="122" ht="18.75" customHeight="1" s="158"/>
    <row r="123" ht="18.75" customHeight="1" s="158"/>
    <row r="124" ht="18.75" customHeight="1" s="158"/>
    <row r="125" ht="18.75" customHeight="1" s="158"/>
    <row r="126" ht="18.75" customHeight="1" s="158"/>
    <row r="127" ht="18.75" customHeight="1" s="158"/>
    <row r="128" ht="18.75" customHeight="1" s="158"/>
    <row r="129" ht="18.75" customHeight="1" s="158"/>
    <row r="130" ht="18.75" customHeight="1" s="158"/>
    <row r="131" ht="18.75" customHeight="1" s="158"/>
    <row r="132" ht="18.75" customHeight="1" s="158"/>
    <row r="133" ht="18.75" customHeight="1" s="158"/>
    <row r="134" ht="18.75" customHeight="1" s="158"/>
    <row r="135" ht="18.75" customHeight="1" s="158"/>
    <row r="136" ht="18.75" customHeight="1" s="158"/>
    <row r="137" ht="18.75" customHeight="1" s="158"/>
    <row r="138" ht="18.75" customHeight="1" s="158"/>
    <row r="139" ht="18.75" customHeight="1" s="158"/>
    <row r="140" ht="18.75" customHeight="1" s="158"/>
    <row r="141" ht="18.75" customHeight="1" s="158"/>
    <row r="142" ht="18.75" customHeight="1" s="158"/>
    <row r="143" ht="18.75" customHeight="1" s="158"/>
    <row r="144" ht="18.75" customHeight="1" s="158"/>
    <row r="145" ht="18.75" customHeight="1" s="158"/>
    <row r="146" ht="18.75" customHeight="1" s="158"/>
    <row r="147" ht="18.75" customHeight="1" s="158"/>
    <row r="148" ht="18.75" customHeight="1" s="158"/>
    <row r="149" ht="18.75" customHeight="1" s="158"/>
    <row r="150" ht="18.75" customHeight="1" s="158"/>
    <row r="151" ht="18.75" customHeight="1" s="158"/>
    <row r="152" ht="18.75" customHeight="1" s="158"/>
    <row r="153" ht="18.75" customHeight="1" s="158"/>
    <row r="154" ht="18.75" customHeight="1" s="158"/>
    <row r="155" ht="18.75" customHeight="1" s="158"/>
    <row r="156" ht="18.75" customHeight="1" s="158"/>
    <row r="157" ht="18.75" customHeight="1" s="158"/>
    <row r="158" ht="18.75" customHeight="1" s="158"/>
    <row r="159" ht="18.75" customHeight="1" s="158"/>
    <row r="160" ht="18.75" customHeight="1" s="158"/>
    <row r="161" ht="18.75" customHeight="1" s="158"/>
    <row r="162" ht="18.75" customHeight="1" s="158"/>
    <row r="163" ht="18.75" customHeight="1" s="158"/>
    <row r="164" ht="18.75" customHeight="1" s="158"/>
    <row r="165" ht="18.75" customHeight="1" s="158"/>
    <row r="166" ht="18.75" customHeight="1" s="158"/>
    <row r="167" ht="18.75" customHeight="1" s="158"/>
    <row r="168" ht="18.75" customHeight="1" s="158"/>
    <row r="169" ht="18.75" customHeight="1" s="158"/>
    <row r="170" ht="18.75" customHeight="1" s="158"/>
    <row r="171" ht="18.75" customHeight="1" s="158"/>
    <row r="172" ht="18.75" customHeight="1" s="158"/>
    <row r="173" ht="18.75" customHeight="1" s="158"/>
    <row r="174" ht="18.75" customHeight="1" s="158"/>
    <row r="175" ht="18.75" customHeight="1" s="158"/>
    <row r="176" ht="18.75" customHeight="1" s="158"/>
    <row r="177" ht="18.75" customHeight="1" s="158"/>
    <row r="178" ht="18.75" customHeight="1" s="158"/>
    <row r="179" ht="18.75" customHeight="1" s="158"/>
    <row r="180" ht="18.75" customHeight="1" s="158"/>
    <row r="181" ht="18.75" customHeight="1" s="158"/>
    <row r="182" ht="18.75" customHeight="1" s="158"/>
    <row r="183" ht="18.75" customHeight="1" s="158"/>
    <row r="184" ht="18.75" customHeight="1" s="158"/>
    <row r="185" ht="18.75" customHeight="1" s="158"/>
    <row r="186" ht="18.75" customHeight="1" s="158"/>
    <row r="187" ht="18.75" customHeight="1" s="158"/>
    <row r="188" ht="18.75" customHeight="1" s="158"/>
    <row r="189" ht="18.75" customHeight="1" s="158"/>
    <row r="190" ht="18.75" customHeight="1" s="158"/>
    <row r="191" ht="18.75" customHeight="1" s="158"/>
    <row r="192" ht="18.75" customHeight="1" s="158"/>
    <row r="193" ht="18.75" customHeight="1" s="158"/>
    <row r="194" ht="18.75" customHeight="1" s="158"/>
    <row r="195" ht="18.75" customHeight="1" s="158"/>
    <row r="196" ht="18.75" customHeight="1" s="158"/>
    <row r="197" ht="18.75" customHeight="1" s="158"/>
    <row r="198" ht="18.75" customHeight="1" s="158"/>
    <row r="199" ht="18.75" customHeight="1" s="158"/>
    <row r="200" ht="18.75" customHeight="1" s="158"/>
    <row r="201" ht="18.75" customHeight="1" s="158"/>
    <row r="202" ht="18.75" customHeight="1" s="158"/>
    <row r="203" ht="18.75" customHeight="1" s="158"/>
    <row r="204" ht="18.75" customHeight="1" s="158"/>
    <row r="205" ht="18.75" customHeight="1" s="158"/>
    <row r="206" ht="18.75" customHeight="1" s="158"/>
    <row r="207" ht="18.75" customHeight="1" s="158"/>
    <row r="208" ht="18.75" customHeight="1" s="158"/>
    <row r="209" ht="18.75" customHeight="1" s="158"/>
    <row r="210" ht="18.75" customHeight="1" s="158"/>
    <row r="211" ht="18.75" customHeight="1" s="158"/>
    <row r="212" ht="18.75" customHeight="1" s="158"/>
    <row r="213" ht="18.75" customHeight="1" s="158"/>
    <row r="214" ht="18.75" customHeight="1" s="158"/>
    <row r="215" ht="18.75" customHeight="1" s="158"/>
    <row r="216" ht="18.75" customHeight="1" s="158"/>
    <row r="217" ht="18.75" customHeight="1" s="158"/>
    <row r="218" ht="18.75" customHeight="1" s="158"/>
    <row r="219" ht="18.75" customHeight="1" s="158"/>
    <row r="220" ht="18.75" customHeight="1" s="158"/>
    <row r="221" ht="18.75" customHeight="1" s="158"/>
    <row r="222" ht="18.75" customHeight="1" s="158"/>
    <row r="223" ht="18.75" customHeight="1" s="158"/>
    <row r="224" ht="18.75" customHeight="1" s="158"/>
    <row r="225" ht="18.75" customHeight="1" s="158"/>
    <row r="226" ht="18.75" customHeight="1" s="158"/>
    <row r="227" ht="18.75" customHeight="1" s="158"/>
    <row r="228" ht="18.75" customHeight="1" s="158"/>
    <row r="229" ht="18.75" customHeight="1" s="158"/>
    <row r="230" ht="18.75" customHeight="1" s="158"/>
    <row r="231" ht="18.75" customHeight="1" s="158"/>
    <row r="232" ht="18.75" customHeight="1" s="158"/>
    <row r="233" ht="18.75" customHeight="1" s="158"/>
    <row r="234" ht="18.75" customHeight="1" s="158"/>
    <row r="235" ht="18.75" customHeight="1" s="158"/>
    <row r="236" ht="18.75" customHeight="1" s="158"/>
    <row r="237" ht="18.75" customHeight="1" s="158"/>
    <row r="238" ht="18.75" customHeight="1" s="158"/>
    <row r="239" ht="18.75" customHeight="1" s="158"/>
    <row r="240" ht="18.75" customHeight="1" s="158"/>
    <row r="241" ht="18.75" customHeight="1" s="158"/>
    <row r="242" ht="18.75" customHeight="1" s="158"/>
    <row r="243" ht="18.75" customHeight="1" s="158"/>
    <row r="244" ht="18.75" customHeight="1" s="158"/>
    <row r="245" ht="18.75" customHeight="1" s="158"/>
    <row r="246" ht="18.75" customHeight="1" s="158"/>
    <row r="247" ht="18.75" customHeight="1" s="158"/>
    <row r="248" ht="18.75" customHeight="1" s="158"/>
    <row r="249" ht="18.75" customHeight="1" s="158"/>
    <row r="250" ht="18.75" customHeight="1" s="158"/>
    <row r="251" ht="18.75" customHeight="1" s="158"/>
    <row r="252" ht="18.75" customHeight="1" s="158"/>
    <row r="253" ht="18.75" customHeight="1" s="158"/>
  </sheetData>
  <mergeCells count="133">
    <mergeCell ref="O7:P7"/>
    <mergeCell ref="K24:L24"/>
    <mergeCell ref="N25:N26"/>
    <mergeCell ref="O6:P6"/>
    <mergeCell ref="Z25:Z26"/>
    <mergeCell ref="AM19:AQ19"/>
    <mergeCell ref="R25:R26"/>
    <mergeCell ref="T25:T26"/>
    <mergeCell ref="A7:B7"/>
    <mergeCell ref="AD25:AD26"/>
    <mergeCell ref="M10:N10"/>
    <mergeCell ref="AF25:AF26"/>
    <mergeCell ref="O1:P1"/>
    <mergeCell ref="AM24:AN24"/>
    <mergeCell ref="AQ24:AQ26"/>
    <mergeCell ref="M24:O24"/>
    <mergeCell ref="K2:L2"/>
    <mergeCell ref="C11:J11"/>
    <mergeCell ref="AA24:AA26"/>
    <mergeCell ref="M8:N8"/>
    <mergeCell ref="O8:P8"/>
    <mergeCell ref="O2:P2"/>
    <mergeCell ref="E25:E26"/>
    <mergeCell ref="O11:P11"/>
    <mergeCell ref="Q25:Q26"/>
    <mergeCell ref="P24:Q24"/>
    <mergeCell ref="S25:S26"/>
    <mergeCell ref="B25:B26"/>
    <mergeCell ref="C13:J13"/>
    <mergeCell ref="A9:B9"/>
    <mergeCell ref="K13:L13"/>
    <mergeCell ref="P25:P26"/>
    <mergeCell ref="R24:T24"/>
    <mergeCell ref="O3:P3"/>
    <mergeCell ref="W25:W26"/>
    <mergeCell ref="A11:B11"/>
    <mergeCell ref="AK25:AK26"/>
    <mergeCell ref="M1:N1"/>
    <mergeCell ref="AM22:AQ22"/>
    <mergeCell ref="AJ24:AL24"/>
    <mergeCell ref="AH24:AI26"/>
    <mergeCell ref="C1:J1"/>
    <mergeCell ref="K1:L1"/>
    <mergeCell ref="C10:J10"/>
    <mergeCell ref="AL25:AL26"/>
    <mergeCell ref="AN25:AN26"/>
    <mergeCell ref="C9:J9"/>
    <mergeCell ref="M13:N13"/>
    <mergeCell ref="M7:N7"/>
    <mergeCell ref="J25:J26"/>
    <mergeCell ref="AM20:AQ20"/>
    <mergeCell ref="I24:J24"/>
    <mergeCell ref="C2:J2"/>
    <mergeCell ref="D25:D26"/>
    <mergeCell ref="G25:G26"/>
    <mergeCell ref="A8:B8"/>
    <mergeCell ref="AM16:AN16"/>
    <mergeCell ref="A10:B10"/>
    <mergeCell ref="K10:L10"/>
    <mergeCell ref="AM21:AQ21"/>
    <mergeCell ref="AO24:AO26"/>
    <mergeCell ref="K6:L6"/>
    <mergeCell ref="K3:L3"/>
    <mergeCell ref="AB24:AC24"/>
    <mergeCell ref="AE25:AE26"/>
    <mergeCell ref="C6:J6"/>
    <mergeCell ref="AD24:AE24"/>
    <mergeCell ref="K9:L9"/>
    <mergeCell ref="K5:L5"/>
    <mergeCell ref="C14:J14"/>
    <mergeCell ref="M9:N9"/>
    <mergeCell ref="M5:N5"/>
    <mergeCell ref="A1:B1"/>
    <mergeCell ref="O9:P9"/>
    <mergeCell ref="AB25:AB26"/>
    <mergeCell ref="C4:J4"/>
    <mergeCell ref="M2:N2"/>
    <mergeCell ref="K11:L11"/>
    <mergeCell ref="M11:N11"/>
    <mergeCell ref="O5:P5"/>
    <mergeCell ref="U24:Z24"/>
    <mergeCell ref="M25:M26"/>
    <mergeCell ref="O25:O26"/>
    <mergeCell ref="A24:G24"/>
    <mergeCell ref="AK19:AL23"/>
    <mergeCell ref="O4:P4"/>
    <mergeCell ref="A3:B3"/>
    <mergeCell ref="L25:L26"/>
    <mergeCell ref="A12:B12"/>
    <mergeCell ref="AM17:AQ18"/>
    <mergeCell ref="M12:N12"/>
    <mergeCell ref="K8:L8"/>
    <mergeCell ref="A5:B5"/>
    <mergeCell ref="A14:B14"/>
    <mergeCell ref="C8:J8"/>
    <mergeCell ref="A4:B4"/>
    <mergeCell ref="K7:L7"/>
    <mergeCell ref="V25:V26"/>
    <mergeCell ref="X25:X26"/>
    <mergeCell ref="AJ25:AJ26"/>
    <mergeCell ref="AK15:AL18"/>
    <mergeCell ref="AG25:AG26"/>
    <mergeCell ref="C3:J3"/>
    <mergeCell ref="F25:F26"/>
    <mergeCell ref="O10:P10"/>
    <mergeCell ref="C5:J5"/>
    <mergeCell ref="A6:B6"/>
    <mergeCell ref="I25:I26"/>
    <mergeCell ref="A25:A26"/>
    <mergeCell ref="C25:C26"/>
    <mergeCell ref="U25:U26"/>
    <mergeCell ref="C12:J12"/>
    <mergeCell ref="A2:B2"/>
    <mergeCell ref="K12:L12"/>
    <mergeCell ref="Y25:Y26"/>
    <mergeCell ref="M6:N6"/>
    <mergeCell ref="AC25:AC26"/>
    <mergeCell ref="AM25:AM26"/>
    <mergeCell ref="AP24:AP26"/>
    <mergeCell ref="M3:N3"/>
    <mergeCell ref="K14:L14"/>
    <mergeCell ref="U1:AL14"/>
    <mergeCell ref="O12:P12"/>
    <mergeCell ref="C7:J7"/>
    <mergeCell ref="AM15:AN15"/>
    <mergeCell ref="K25:K26"/>
    <mergeCell ref="M14:N14"/>
    <mergeCell ref="O14:P14"/>
    <mergeCell ref="A13:B13"/>
    <mergeCell ref="K4:L4"/>
    <mergeCell ref="H25:H26"/>
    <mergeCell ref="M4:N4"/>
    <mergeCell ref="O13:P13"/>
  </mergeCells>
  <printOptions horizontalCentered="1" verticalCentered="1"/>
  <pageMargins left="0.25" right="0.25" top="0.25" bottom="0.25" header="0" footer="0"/>
  <pageSetup orientation="landscape" paperSize="3" cellComments="atEnd"/>
  <headerFooter>
    <oddHeader>&amp;RSheet &amp;P of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2026-05-26T18:42:51Z</dcterms:created>
  <dcterms:modified xsi:type="dcterms:W3CDTF">2026-05-26T18:42:52Z</dcterms:modified>
</cp:coreProperties>
</file>